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WA\Aprod\public\templates\"/>
    </mc:Choice>
  </mc:AlternateContent>
  <xr:revisionPtr revIDLastSave="0" documentId="13_ncr:1_{8565A59F-2309-4136-958B-2622DAAE8369}" xr6:coauthVersionLast="36" xr6:coauthVersionMax="36" xr10:uidLastSave="{00000000-0000-0000-0000-000000000000}"/>
  <bookViews>
    <workbookView xWindow="0" yWindow="0" windowWidth="41280" windowHeight="13260" xr2:uid="{AC589F6B-EA4E-4A80-B16D-7BF28F718897}"/>
  </bookViews>
  <sheets>
    <sheet name="Munka1" sheetId="2" r:id="rId1"/>
  </sheets>
  <externalReferences>
    <externalReference r:id="rId2"/>
  </externalReferences>
  <definedNames>
    <definedName name="ImageEN8120D">OFFSET('[1]EN 81-20 Allemand'!$AA$167,0,'[1]EN 81-20 Allemand'!$Y$167-1,1,1)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92" i="2" l="1"/>
  <c r="F192" i="2"/>
  <c r="O190" i="2"/>
  <c r="F190" i="2"/>
  <c r="P150" i="2"/>
  <c r="M150" i="2"/>
  <c r="I150" i="2"/>
  <c r="T133" i="2"/>
  <c r="E8" i="2"/>
  <c r="E7" i="2"/>
</calcChain>
</file>

<file path=xl/sharedStrings.xml><?xml version="1.0" encoding="utf-8"?>
<sst xmlns="http://schemas.openxmlformats.org/spreadsheetml/2006/main" count="429" uniqueCount="319">
  <si>
    <r>
      <t xml:space="preserve">□ </t>
    </r>
    <r>
      <rPr>
        <b/>
        <sz val="14"/>
        <rFont val="Arial"/>
        <family val="2"/>
      </rPr>
      <t>ENDPRÜFUNG</t>
    </r>
  </si>
  <si>
    <t>F07-440FN</t>
  </si>
  <si>
    <t>für Aufzüge der Typ Gen2 Gien und Madrid</t>
  </si>
  <si>
    <t>gemäss den Normen SIA 370.020 &amp;  EN 81-20:2014</t>
  </si>
  <si>
    <t>AN:</t>
  </si>
  <si>
    <t>Adresse:</t>
  </si>
  <si>
    <t>VON:</t>
  </si>
  <si>
    <t>Anlage Nr.:</t>
  </si>
  <si>
    <t>Ref.</t>
  </si>
  <si>
    <t>Erforderliche Nacharbeiten</t>
  </si>
  <si>
    <t>Mangel</t>
  </si>
  <si>
    <t>Zuständig</t>
  </si>
  <si>
    <t xml:space="preserve">Beheben </t>
  </si>
  <si>
    <t>Behoben am</t>
  </si>
  <si>
    <t>Behoben durch</t>
  </si>
  <si>
    <t xml:space="preserve">Nr. </t>
  </si>
  <si>
    <t>gemäss EN?</t>
  </si>
  <si>
    <t>bis</t>
  </si>
  <si>
    <t xml:space="preserve">(des </t>
  </si>
  <si>
    <t>Protokolls)</t>
  </si>
  <si>
    <t xml:space="preserve"> Ja   Nein</t>
  </si>
  <si>
    <t>Unterschrift</t>
  </si>
  <si>
    <t>(Aufgrund der folgenden Seite)</t>
  </si>
  <si>
    <t xml:space="preserve">Erst nach Bereinigung aller Mängel im Sinne der Norm EN81, die den Aufzug ausser Betrieb </t>
  </si>
  <si>
    <t xml:space="preserve">setzen könnten, darf die Konformitätserklärung unterschrieben und das CE-Zeichen angebracht werden </t>
  </si>
  <si>
    <t xml:space="preserve">Mängel, die nicht zur Ausserbetriebsetzung des Aufzugs führen, sind innerhalb der  </t>
  </si>
  <si>
    <t>festzulegenden Fristen zu beheben.</t>
  </si>
  <si>
    <t>Name des Monteurs : …………………………</t>
  </si>
  <si>
    <t xml:space="preserve">Die Konformitätserklärung kann bei der 1. Prüfung ausgestellt werden: </t>
  </si>
  <si>
    <t>□</t>
  </si>
  <si>
    <t>JA</t>
  </si>
  <si>
    <r>
      <t>□</t>
    </r>
    <r>
      <rPr>
        <sz val="20"/>
        <rFont val="Arial"/>
        <family val="2"/>
      </rPr>
      <t/>
    </r>
  </si>
  <si>
    <t>NEIN</t>
  </si>
  <si>
    <t xml:space="preserve">Die Konformitätserklärung kann bei der 2. Prüfung ausgestellt werden: </t>
  </si>
  <si>
    <t>Prüfung durchgeführt von:   Name:……………………….Datum:………..………...Unterschrift……………………</t>
  </si>
  <si>
    <t>Wiederinbetriebnahme:</t>
  </si>
  <si>
    <t>Erledigt am</t>
  </si>
  <si>
    <t>Erledigt von</t>
  </si>
  <si>
    <t>Nr.</t>
  </si>
  <si>
    <t>Regionaldirektion:……………………………….</t>
  </si>
  <si>
    <t>Tournee : …………………………</t>
  </si>
  <si>
    <t>Die Anlage kann bei der 1. Prüfung durch den FS freigegeben werden:</t>
  </si>
  <si>
    <t>Prüfung durchgeführt von:  Name:……………………….Datum:……......………..Unterschrift……………………</t>
  </si>
  <si>
    <t>Die Anlage kann bei der 2. Prüfung durch den FS freigegeben werden:</t>
  </si>
  <si>
    <t>Prüfung durchgeführt von:  Name:……………………….Datum:………...………..Unterschrift……………………</t>
  </si>
  <si>
    <t>Unterschrift Leiter Wartungsabteilung</t>
  </si>
  <si>
    <t>:</t>
  </si>
  <si>
    <t>………………………………………….</t>
  </si>
  <si>
    <t>Datum:………………..</t>
  </si>
  <si>
    <t>Kenntnisnahme durch FN-Sin</t>
  </si>
  <si>
    <t>Kopie Protokoll an HQ Contract Eng</t>
  </si>
  <si>
    <t>(falls techn. Angaben oder zu korrigierender Plan)</t>
  </si>
  <si>
    <t>Kopie Protokoll an Sec. DM-FN/FS</t>
  </si>
  <si>
    <t>0. ANLAGENTYP / STANDORT</t>
  </si>
  <si>
    <t>Typ:</t>
  </si>
  <si>
    <t>Sicherheit Bauteile</t>
  </si>
  <si>
    <t>+ / -</t>
  </si>
  <si>
    <t>Maschine:</t>
  </si>
  <si>
    <t>Nennlast (kg):</t>
  </si>
  <si>
    <r>
      <rPr>
        <sz val="10"/>
        <rFont val="Calibri"/>
        <family val="2"/>
      </rPr>
      <t>Ü</t>
    </r>
    <r>
      <rPr>
        <sz val="10"/>
        <rFont val="Arial"/>
        <family val="2"/>
      </rPr>
      <t>bergeschwindigkeit auf.:</t>
    </r>
  </si>
  <si>
    <t xml:space="preserve">Personenkapazität: </t>
  </si>
  <si>
    <t>Begrenzer Kabine:</t>
  </si>
  <si>
    <t>Begrenzer GG:</t>
  </si>
  <si>
    <t>Nenngeschwindigkeit (m/s):</t>
  </si>
  <si>
    <t>Fangvorrichtung Kabine:</t>
  </si>
  <si>
    <t>Fangvorrichtung GG:</t>
  </si>
  <si>
    <t>Anzahl Haltestellen:</t>
  </si>
  <si>
    <t>Puffer Kabine:</t>
  </si>
  <si>
    <t xml:space="preserve">Anzahl Eingänge: </t>
  </si>
  <si>
    <t>Puffer GG:</t>
  </si>
  <si>
    <t>Eingänge:</t>
  </si>
  <si>
    <t xml:space="preserve">Schachttürverschluss: </t>
  </si>
  <si>
    <t xml:space="preserve">UCM: </t>
  </si>
  <si>
    <t>Förderhöhe (m):</t>
  </si>
  <si>
    <t xml:space="preserve"> </t>
  </si>
  <si>
    <t>Anzahl Gurten / Breite:</t>
  </si>
  <si>
    <t>/</t>
  </si>
  <si>
    <t>Maschinenraum:</t>
  </si>
  <si>
    <t>Schiene Kabine / GG</t>
  </si>
  <si>
    <t>1. EN81-20 - ADDENDUM AU DOCUMENTS DU FIM</t>
  </si>
  <si>
    <t>+</t>
  </si>
  <si>
    <t>-</t>
  </si>
  <si>
    <t>N</t>
  </si>
  <si>
    <t>Norm</t>
  </si>
  <si>
    <t>EN 81-20</t>
  </si>
  <si>
    <t>1.1</t>
  </si>
  <si>
    <t>0.4.16</t>
  </si>
  <si>
    <t>Ist die Temperatur in Schacht zwischen +5°C und +40°C?</t>
  </si>
  <si>
    <t>1.2</t>
  </si>
  <si>
    <t>5.2.1.4.2</t>
  </si>
  <si>
    <t>Beträgt die Beleuchtung in die Maschienraumzone 200 lux und in den Zugangsbereich 50 lux?</t>
  </si>
  <si>
    <t>1.3</t>
  </si>
  <si>
    <t>5.10.1.2.3</t>
  </si>
  <si>
    <t>Besteht für den Stromkreis über 50 VAC eine 30 mA-FI?</t>
  </si>
  <si>
    <t>5.2.5.7</t>
  </si>
  <si>
    <t>Ist die Kleber mit die Schutzraum auf dem Kabinedach installiert?</t>
  </si>
  <si>
    <t>1.5</t>
  </si>
  <si>
    <t>5.4.8.a</t>
  </si>
  <si>
    <t>Ist den TES weniger als 300mm von Schutzquader installiert?</t>
  </si>
  <si>
    <t>1.6</t>
  </si>
  <si>
    <t>5.2.6.3.2.1</t>
  </si>
  <si>
    <t xml:space="preserve">Stoppt der obere Anschlag den Fahrkorb in Inspektion in einem Mindestabstand </t>
  </si>
  <si>
    <t>m?</t>
  </si>
  <si>
    <t>1.7</t>
  </si>
  <si>
    <t>5.4.7.4</t>
  </si>
  <si>
    <t>Ist die Geländer auf dem Kabinedach konform? (gemessen von Innenkante</t>
  </si>
  <si>
    <t>des Geländers): wenn &lt; 300 nicht nötig, 900 (750) wenn 300... 500, (1100) wenn &gt; 500</t>
  </si>
  <si>
    <t>Werden die effektiven Sicherheitsabstände gemäss den nachstehenden Bedingungen bei</t>
  </si>
  <si>
    <t>vom Gegengewicht vollständig komprimierten Puffern eingehalten?</t>
  </si>
  <si>
    <t>Mass A in mm</t>
  </si>
  <si>
    <t>Mass B in mm</t>
  </si>
  <si>
    <t>Mass C in mm</t>
  </si>
  <si>
    <t>Mass D in mm</t>
  </si>
  <si>
    <t>(Fahrkorbdach am tiefsten Punkt vom Schachtkopf)</t>
  </si>
  <si>
    <t>(oberer Teil des Bogengangs am tiefsten Punkt vom Schachtkopf)</t>
  </si>
  <si>
    <t>(Gleitführung zu äusserem Ende der Führungen)</t>
  </si>
  <si>
    <t>mm</t>
  </si>
  <si>
    <t>≥ 400mm</t>
  </si>
  <si>
    <t>Gemessene Distanz bei Fahrkorb an Schalter 6LS</t>
  </si>
  <si>
    <t>-Nachlaufweg</t>
  </si>
  <si>
    <t>(bis das Gegengewicht den Puffer berührt)</t>
  </si>
  <si>
    <t>≥ 500mm</t>
  </si>
  <si>
    <t>Mass E in mm</t>
  </si>
  <si>
    <t>- GG-Pufferweg</t>
  </si>
  <si>
    <t>- Entf. zw. Fahrkorbschw. und Et.-pod.</t>
  </si>
  <si>
    <t>Effektiver Sicherheitsabstand</t>
  </si>
  <si>
    <t>Minimaler Sicherheitsabstand</t>
  </si>
  <si>
    <t>1.9</t>
  </si>
  <si>
    <t>5.2.5.2.2</t>
  </si>
  <si>
    <t>Gibt es im Schacht Flächen &gt; 150mm? Falls ja, muss eine Vorrichtung vorhanden sein die verhindert</t>
  </si>
  <si>
    <t xml:space="preserve">dass die Fläche betreten werden kann. Dies ist auch anwendbar für Flächen hinter der Kab. Geländer. </t>
  </si>
  <si>
    <t>1.10</t>
  </si>
  <si>
    <t>5.2.1.4.1</t>
  </si>
  <si>
    <t xml:space="preserve">Beträgt die Beleuchtungsstärke min. 50 lux 1m über dem Kabinedach und 1m über  </t>
  </si>
  <si>
    <t>Schachtgrube, anderswo in Schacht 20 lux?</t>
  </si>
  <si>
    <t>1.11</t>
  </si>
  <si>
    <t>5.2.3.15.3</t>
  </si>
  <si>
    <t>Funktioniert(en) die Seile(n) für die Kabinetür(e) öffnen von aussen die Schacht?</t>
  </si>
  <si>
    <t>5.4.10.1</t>
  </si>
  <si>
    <t>Erreicht die Beleuchtung in der Kabine 100 Lux, die Notbeleuchtung 5 lux?</t>
  </si>
  <si>
    <t>1.13</t>
  </si>
  <si>
    <t>5.7.2.3.5</t>
  </si>
  <si>
    <t>Vörderhöhe &gt; 40m: Sind die glied Klauen installiert?</t>
  </si>
  <si>
    <t>1.14</t>
  </si>
  <si>
    <t>5.2.5.5.2</t>
  </si>
  <si>
    <t xml:space="preserve">Ist eine Abtrennung über die gesamte Schachthöhe vorhanden, wenn der Abstand zwischen </t>
  </si>
  <si>
    <t>der Innenkante des Geländers und beweglichen Teilen des benachbarten Aufz. &lt; 500mm beträgt?</t>
  </si>
  <si>
    <t>1.15</t>
  </si>
  <si>
    <t>5.8.1.1</t>
  </si>
  <si>
    <t>Distanz zwischen horizontalem Fahrkorb und Puffer:</t>
  </si>
  <si>
    <t>Durchbiegung Puffer, gemessen:</t>
  </si>
  <si>
    <t>5.2.5.8</t>
  </si>
  <si>
    <t xml:space="preserve">Werden bei Aufsitzen des Fahrkorbs auf den vollständig komprimierten Puffern die </t>
  </si>
  <si>
    <t>Sicherheitsabstände gemäss den nachfolgend beschriebenen Bedingungen eingehalten?</t>
  </si>
  <si>
    <t>a)</t>
  </si>
  <si>
    <t>Vert. Abstand zwischen dem höchsten Punkt eines grubenseitig installierten Bauteils zum FK</t>
  </si>
  <si>
    <t>b)</t>
  </si>
  <si>
    <t>Vert. Abstand vom Grubenboden zum tiefsten Punkt des Fahrkorbbogens</t>
  </si>
  <si>
    <t>c)</t>
  </si>
  <si>
    <t>Vert. Abstand vom Grubenboden zu den unter dem FK installierten Komponenten</t>
  </si>
  <si>
    <t>1.17</t>
  </si>
  <si>
    <t>Ist die Kleber mit die Schutzraum an die unterste Schürtzenblech / Schienebügel installiert?</t>
  </si>
  <si>
    <t>1.18</t>
  </si>
  <si>
    <t xml:space="preserve">Ist den Schutzquader in die Grube (ligend) 700x1000x500 mm / (hockend) 500x700x1000 / </t>
  </si>
  <si>
    <t>(aufrecht) 400x500x2000 vorhanden?</t>
  </si>
  <si>
    <t>1.19</t>
  </si>
  <si>
    <t>Funktioniert die Prozeduren der Grubezutritt (ohne PCS) um unter der Kabine schaffen?</t>
  </si>
  <si>
    <t>1.20</t>
  </si>
  <si>
    <t>5.2.1.5.1</t>
  </si>
  <si>
    <t>Funktioniert die Prozeduren der Grubezutritt (mit PCS) um unter der Kabine schaffen?</t>
  </si>
  <si>
    <t>1.21</t>
  </si>
  <si>
    <t>Ist ein KS an die unterste Tür installiert? Öffnet der KS die Sicherheitkreis?</t>
  </si>
  <si>
    <t>1.22</t>
  </si>
  <si>
    <t>5.2.2.4</t>
  </si>
  <si>
    <t>Ist die Sicherheitkreis unterbrochen wenn die Leiter in Position zu Grubezutritt installiert ist?</t>
  </si>
  <si>
    <t>1.23</t>
  </si>
  <si>
    <t>Ist die Grubeleiter wie in die Instruktion installiert?</t>
  </si>
  <si>
    <t>1.24</t>
  </si>
  <si>
    <t>5.2.5.7.1</t>
  </si>
  <si>
    <t>Ist das Schild mit die Überfahrt an die GG-Traverse installiert?</t>
  </si>
  <si>
    <t>1.25</t>
  </si>
  <si>
    <t>5.2.3.3.c</t>
  </si>
  <si>
    <t>Funktioniert die Seile für die unterste Schachttür von der Grube öffnen?</t>
  </si>
  <si>
    <t>1.26</t>
  </si>
  <si>
    <t>5.2.5.2</t>
  </si>
  <si>
    <t>Räumen unter die Schachtgrube: Ist ein GG-Fang installiert?</t>
  </si>
  <si>
    <t>Ist das Endkontrolle (Kap 14.2 des FIMs Gien) ausgefühlt und an Protokoll beigelegt?</t>
  </si>
  <si>
    <t>Ist das Testbericht (Kap 14.4: Gien / IA-001: Madrid) ausgefühlt und an Protokoll beigelegt?</t>
  </si>
  <si>
    <t>1.29</t>
  </si>
  <si>
    <t>Ist die FPC-Checklist (Kap Y.1: Gien / J.F.: Madrid) ausgefühlt und an Protokoll beigelegt?</t>
  </si>
  <si>
    <t>2. ISOLATIONSMESSUNGEN</t>
  </si>
  <si>
    <t>Messprotokoll für Aufzüge gemäss RS930.112</t>
  </si>
  <si>
    <t>Anlage-Nr.</t>
  </si>
  <si>
    <r>
      <t>Anlagentyp:</t>
    </r>
    <r>
      <rPr>
        <sz val="10"/>
        <rFont val="Arial"/>
        <family val="2"/>
      </rPr>
      <t xml:space="preserve">  </t>
    </r>
  </si>
  <si>
    <t xml:space="preserve">Standort: </t>
  </si>
  <si>
    <t>Strasse:</t>
  </si>
  <si>
    <t>Sonstige Bezeichnungen:</t>
  </si>
  <si>
    <t>Zustand bei der ersten Messungen:</t>
  </si>
  <si>
    <t xml:space="preserve">Messung der Kurzschluss vor der OCB: </t>
  </si>
  <si>
    <r>
      <rPr>
        <b/>
        <sz val="16"/>
        <color indexed="8"/>
        <rFont val="Arial"/>
        <family val="2"/>
      </rPr>
      <t>□</t>
    </r>
    <r>
      <rPr>
        <b/>
        <sz val="10"/>
        <color indexed="8"/>
        <rFont val="Arial"/>
        <family val="2"/>
      </rPr>
      <t xml:space="preserve"> Provisorische Ligne</t>
    </r>
  </si>
  <si>
    <r>
      <rPr>
        <b/>
        <sz val="16"/>
        <color indexed="8"/>
        <rFont val="Arial"/>
        <family val="2"/>
      </rPr>
      <t xml:space="preserve">□ </t>
    </r>
    <r>
      <rPr>
        <b/>
        <sz val="10"/>
        <color indexed="8"/>
        <rFont val="Arial"/>
        <family val="2"/>
      </rPr>
      <t>Definitive Ligne</t>
    </r>
  </si>
  <si>
    <t>Modell der verwendeten Gerät:</t>
  </si>
  <si>
    <t xml:space="preserve">Geprüft durch OTIS:  </t>
  </si>
  <si>
    <t xml:space="preserve">Datum:  </t>
  </si>
  <si>
    <t xml:space="preserve">Visum des Bewilligungsträgers:  </t>
  </si>
  <si>
    <t>Akkreditierte Inspektionsstelle:</t>
  </si>
  <si>
    <t xml:space="preserve">Visum:  </t>
  </si>
  <si>
    <t>ACHTUNG
1. Die Isolationsprüfung erfolgt ohne elektronische Hilfsmittel und bei spannungsfrei geschalteter Anlage!
2. Die Prüfung des inneren Widerstands bzw. des Kurzschlussstroms erfolgt, wenn am Abnehmer Spannung anliegt.</t>
  </si>
  <si>
    <t>OK</t>
  </si>
  <si>
    <t>NOK</t>
  </si>
  <si>
    <t>Visuelle Inspektion ?</t>
  </si>
  <si>
    <t>Pos.</t>
  </si>
  <si>
    <t>Gruppe</t>
  </si>
  <si>
    <t>Schutz überstrom</t>
  </si>
  <si>
    <t>Messung &amp; Tests</t>
  </si>
  <si>
    <t>Abkür.</t>
  </si>
  <si>
    <t>Beschreibung</t>
  </si>
  <si>
    <t>Typ</t>
  </si>
  <si>
    <t>Inom</t>
  </si>
  <si>
    <t>Isolation</t>
  </si>
  <si>
    <t>Icc</t>
  </si>
  <si>
    <t>DDR / FI / RCD</t>
  </si>
  <si>
    <t>Spannung</t>
  </si>
  <si>
    <t>LS/PKZ
B, C, Gg…</t>
  </si>
  <si>
    <t>[A]</t>
  </si>
  <si>
    <t>N-PE
[MΩ]</t>
  </si>
  <si>
    <t>L-PE
[MΩ]</t>
  </si>
  <si>
    <t>L-PE
[A]</t>
  </si>
  <si>
    <t>Inom
[A]</t>
  </si>
  <si>
    <t>I∆nom
[mA]</t>
  </si>
  <si>
    <t>t décl
[ms]</t>
  </si>
  <si>
    <t>I décl
[mA]</t>
  </si>
  <si>
    <t>L-N
L-PE
[V]</t>
  </si>
  <si>
    <t>L-L
[V]</t>
  </si>
  <si>
    <t>OCB</t>
  </si>
  <si>
    <t>Hauptschalter</t>
  </si>
  <si>
    <t>ROCB</t>
  </si>
  <si>
    <t>Fernbetätigter Hauptschalter</t>
  </si>
  <si>
    <t>F2L</t>
  </si>
  <si>
    <t>Sicherung Türantrieb vorne</t>
  </si>
  <si>
    <t>F3L</t>
  </si>
  <si>
    <t>Sicherung Türantrieb hintere</t>
  </si>
  <si>
    <t>FSK1</t>
  </si>
  <si>
    <t>Fehlerstromschutzschalter, Steckdose &amp; Licht Kabine und Schacht</t>
  </si>
  <si>
    <t>LIHS</t>
  </si>
  <si>
    <t>Schachtlichtsicherung</t>
  </si>
  <si>
    <t>FSK2</t>
  </si>
  <si>
    <t>Sicherung Steckdose E&amp;I Panel und im Schacht</t>
  </si>
  <si>
    <t>FSK3</t>
  </si>
  <si>
    <t>Sicherung Licht und Steckdose Kabine</t>
  </si>
  <si>
    <t>F-SC</t>
  </si>
  <si>
    <t>Sicherung für Sicherheitskette</t>
  </si>
  <si>
    <t>Dokument auf der Grundlage des Standards EN81.1 gezeichnet, Artikel 13.1.3, Anhang D.2.f) 1) und 2) und NIV Anforderungen für die Isolationsmessung, wenn strengere Massnahmen.</t>
  </si>
  <si>
    <t>3. PRÜFPROTOKOLL DER ERDUNG FÜR AUFZÜGE</t>
  </si>
  <si>
    <t>Adresse der Anlage :</t>
  </si>
  <si>
    <t>Name der akkreditierten Person :</t>
  </si>
  <si>
    <t>Datum und Visum :</t>
  </si>
  <si>
    <r>
      <t xml:space="preserve">Bilanz </t>
    </r>
    <r>
      <rPr>
        <sz val="8"/>
        <color theme="1"/>
        <rFont val="Arial"/>
        <family val="2"/>
      </rPr>
      <t>(wenn die Situation es verlangt)</t>
    </r>
    <r>
      <rPr>
        <b/>
        <sz val="10"/>
        <color theme="1"/>
        <rFont val="Arial"/>
        <family val="2"/>
      </rPr>
      <t> :</t>
    </r>
  </si>
  <si>
    <r>
      <t xml:space="preserve">Anlage abgestellt
</t>
    </r>
    <r>
      <rPr>
        <sz val="6"/>
        <color theme="1"/>
        <rFont val="Arial"/>
        <family val="2"/>
      </rPr>
      <t>defekte Erdung im Maschinenraum</t>
    </r>
  </si>
  <si>
    <r>
      <t xml:space="preserve">Anlage abgestellt
</t>
    </r>
    <r>
      <rPr>
        <sz val="6"/>
        <color theme="1"/>
        <rFont val="Arial"/>
        <family val="2"/>
      </rPr>
      <t>bei defekter Verdrahtung (Drähte oder Kabel)</t>
    </r>
  </si>
  <si>
    <r>
      <t xml:space="preserve">Anlage abgestellt
</t>
    </r>
    <r>
      <rPr>
        <sz val="6"/>
        <color theme="1"/>
        <rFont val="Arial"/>
        <family val="2"/>
      </rPr>
      <t>bei beiden Gründe</t>
    </r>
  </si>
  <si>
    <t>Leitfähigkeit fehlerhaft</t>
  </si>
  <si>
    <t>Leitfähigkeit in Ordnung gebracht am :</t>
  </si>
  <si>
    <t>1. Prüfung im Maschinenraum</t>
  </si>
  <si>
    <t>nicht
 OK</t>
  </si>
  <si>
    <t>3. Prüfung im Schacht (jede Etage)</t>
  </si>
  <si>
    <t>Referenz-Erdung vorhanden</t>
  </si>
  <si>
    <t>Kontroller -Gehäuse und -Türen</t>
  </si>
  <si>
    <t>Kabelträger, Schachttür-Rahmen</t>
  </si>
  <si>
    <t>die Erdungsklemme der Hauptspeisung im Kontroller</t>
  </si>
  <si>
    <t>die metallische Kabelkanäle</t>
  </si>
  <si>
    <t>Gehäuse/Erdungsklemme der elektronischen Geräte</t>
  </si>
  <si>
    <t>Kabel-Halterung</t>
  </si>
  <si>
    <t>der Motor</t>
  </si>
  <si>
    <t>Gehäuse/Träger der elektrische Kontakte auf Schachttüren</t>
  </si>
  <si>
    <t>das Bremsengehäuse</t>
  </si>
  <si>
    <t>jeder mit einem Kontakt ausgerüsteter Türflügel (zentral öffnend)</t>
  </si>
  <si>
    <t>der Klemmbrett des Motors und der Bremsspule</t>
  </si>
  <si>
    <t>die Treibscheibe</t>
  </si>
  <si>
    <t>Schachttür-Wagen</t>
  </si>
  <si>
    <t>die Tragseilen</t>
  </si>
  <si>
    <t>Gehäuse/Erdungsklemme der Schachtbeleuchtung</t>
  </si>
  <si>
    <t>das Widerstandsgehäuse</t>
  </si>
  <si>
    <t>Führungsschienen der Kabine</t>
  </si>
  <si>
    <t xml:space="preserve">
der Selektor und seine Ausrüstung (Haube/Kappe, Wagen)</t>
  </si>
  <si>
    <t>Sichtkontrolle der Drähte/Kabel</t>
  </si>
  <si>
    <t>Geschwindigkeitsbegrenzer</t>
  </si>
  <si>
    <t>4. Prüfung  in der Schachtgrube</t>
  </si>
  <si>
    <t>die mit einem Kontakt ausgerüstete Puffer</t>
  </si>
  <si>
    <t>2. Prüfung auf Kabinendach</t>
  </si>
  <si>
    <t>die Spannrolle</t>
  </si>
  <si>
    <t>der STOP-Schalter</t>
  </si>
  <si>
    <t>Tragseile</t>
  </si>
  <si>
    <t>Gehäuse/Erdungsklemme der Verbindungen (J-Box), Klemmsteg</t>
  </si>
  <si>
    <t>die diverse Schacht-Endschalter</t>
  </si>
  <si>
    <t>Sicherheits-Endschalter auf Kabine</t>
  </si>
  <si>
    <t>metallische Impulsgeber/Magnetschalter</t>
  </si>
  <si>
    <t>Kontakt der Ausstiegsklappe</t>
  </si>
  <si>
    <t>PRS-Gehäuse</t>
  </si>
  <si>
    <t>metallischer PRS-Band</t>
  </si>
  <si>
    <t>5. Prüfung in der Kabine</t>
  </si>
  <si>
    <t>Türantriebsbox</t>
  </si>
  <si>
    <t>Kabinentür-Flügel</t>
  </si>
  <si>
    <t>der COP, als Gehäuse</t>
  </si>
  <si>
    <t>Fangkontakt</t>
  </si>
  <si>
    <t>Lichtgitter-Kontrollbox</t>
  </si>
  <si>
    <t>die Kabinendecke, je nach Beleuchtung</t>
  </si>
  <si>
    <t>Inspektionsbox / Inspektionsbox-Träger</t>
  </si>
  <si>
    <t>der Kabinentür-Rahmen</t>
  </si>
  <si>
    <t xml:space="preserve">die Kabinentür-Schwelle
</t>
  </si>
  <si>
    <t>Die Schwelle der Kabinentüre, wenn sie mit einem elektrischen Gerät ausgestattet ist</t>
  </si>
  <si>
    <t>Punkt</t>
  </si>
  <si>
    <t>Bemerkung :</t>
  </si>
  <si>
    <t xml:space="preserve">
aufgezeichnet 0.02 h unter QI463</t>
  </si>
  <si>
    <t xml:space="preserve">Agentur : </t>
  </si>
  <si>
    <t xml:space="preserve">Anlage Nr :  </t>
  </si>
  <si>
    <t>Prüfung durchgeführt von:   Name:                                Datum:………...………..Unterschrift……………………</t>
  </si>
  <si>
    <t>Datum:</t>
  </si>
  <si>
    <t xml:space="preserve">  Unterschrift…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</si>
</sst>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9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color indexed="9"/>
      <name val="Arial"/>
      <family val="2"/>
    </font>
    <font>
      <i/>
      <sz val="10"/>
      <name val="Arial"/>
      <family val="2"/>
    </font>
    <font>
      <sz val="7"/>
      <name val="Arial"/>
      <family val="2"/>
    </font>
    <font>
      <sz val="6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sz val="19"/>
      <name val="Lucida Sans Unicode"/>
      <family val="2"/>
    </font>
    <font>
      <b/>
      <sz val="18"/>
      <name val="Lucida Sans Unicode"/>
      <family val="2"/>
    </font>
    <font>
      <b/>
      <sz val="20"/>
      <name val="Arial"/>
      <family val="2"/>
    </font>
    <font>
      <sz val="20"/>
      <name val="Arial"/>
      <family val="2"/>
    </font>
    <font>
      <b/>
      <sz val="19"/>
      <name val="Lucida Sans Unicode"/>
      <family val="2"/>
    </font>
    <font>
      <b/>
      <sz val="10"/>
      <color indexed="8"/>
      <name val="Arial"/>
      <family val="2"/>
    </font>
    <font>
      <b/>
      <sz val="12"/>
      <color indexed="9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sz val="10"/>
      <name val="Calibri"/>
      <family val="2"/>
    </font>
    <font>
      <sz val="7"/>
      <color indexed="9"/>
      <name val="Arial"/>
      <family val="2"/>
    </font>
    <font>
      <b/>
      <sz val="7"/>
      <name val="Arial"/>
      <family val="2"/>
    </font>
    <font>
      <sz val="10"/>
      <color indexed="8"/>
      <name val="Arial"/>
      <family val="2"/>
    </font>
    <font>
      <b/>
      <sz val="16"/>
      <color indexed="8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b/>
      <sz val="8"/>
      <color theme="1"/>
      <name val="Arial"/>
      <family val="2"/>
    </font>
    <font>
      <b/>
      <sz val="12"/>
      <name val="Arial"/>
      <family val="2"/>
      <charset val="238"/>
    </font>
    <font>
      <b/>
      <sz val="11"/>
      <name val="Arial"/>
      <family val="2"/>
      <charset val="238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 style="thin">
        <color indexed="64"/>
      </bottom>
      <diagonal/>
    </border>
    <border>
      <left style="dashed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9">
    <xf numFmtId="0" fontId="0" fillId="0" borderId="0" xfId="0"/>
    <xf numFmtId="0" fontId="2" fillId="2" borderId="1" xfId="1" applyFont="1" applyFill="1" applyBorder="1" applyProtection="1">
      <protection hidden="1"/>
    </xf>
    <xf numFmtId="0" fontId="1" fillId="2" borderId="2" xfId="1" applyFill="1" applyBorder="1" applyProtection="1">
      <protection hidden="1"/>
    </xf>
    <xf numFmtId="0" fontId="1" fillId="2" borderId="3" xfId="1" applyFill="1" applyBorder="1" applyProtection="1">
      <protection hidden="1"/>
    </xf>
    <xf numFmtId="0" fontId="4" fillId="0" borderId="1" xfId="1" applyFont="1" applyBorder="1" applyAlignment="1" applyProtection="1">
      <alignment horizontal="left"/>
      <protection hidden="1"/>
    </xf>
    <xf numFmtId="0" fontId="4" fillId="0" borderId="2" xfId="1" applyFont="1" applyBorder="1" applyAlignment="1" applyProtection="1">
      <alignment horizontal="left"/>
      <protection hidden="1"/>
    </xf>
    <xf numFmtId="0" fontId="1" fillId="0" borderId="2" xfId="1" applyBorder="1" applyProtection="1">
      <protection hidden="1"/>
    </xf>
    <xf numFmtId="0" fontId="1" fillId="0" borderId="3" xfId="1" applyBorder="1" applyProtection="1">
      <protection hidden="1"/>
    </xf>
    <xf numFmtId="0" fontId="2" fillId="2" borderId="4" xfId="1" applyFont="1" applyFill="1" applyBorder="1" applyProtection="1">
      <protection hidden="1"/>
    </xf>
    <xf numFmtId="0" fontId="1" fillId="2" borderId="0" xfId="1" applyFill="1" applyProtection="1">
      <protection hidden="1"/>
    </xf>
    <xf numFmtId="0" fontId="1" fillId="2" borderId="5" xfId="1" applyFill="1" applyBorder="1" applyProtection="1">
      <protection hidden="1"/>
    </xf>
    <xf numFmtId="0" fontId="4" fillId="0" borderId="0" xfId="1" applyFont="1" applyProtection="1">
      <protection hidden="1"/>
    </xf>
    <xf numFmtId="0" fontId="1" fillId="2" borderId="4" xfId="1" applyFill="1" applyBorder="1" applyProtection="1">
      <protection hidden="1"/>
    </xf>
    <xf numFmtId="0" fontId="5" fillId="0" borderId="4" xfId="1" applyFont="1" applyBorder="1" applyProtection="1">
      <protection hidden="1"/>
    </xf>
    <xf numFmtId="0" fontId="5" fillId="0" borderId="0" xfId="1" applyFont="1" applyProtection="1">
      <protection hidden="1"/>
    </xf>
    <xf numFmtId="0" fontId="3" fillId="2" borderId="4" xfId="1" applyFont="1" applyFill="1" applyBorder="1" applyProtection="1">
      <protection hidden="1"/>
    </xf>
    <xf numFmtId="0" fontId="5" fillId="0" borderId="0" xfId="1" applyFont="1" applyAlignment="1" applyProtection="1">
      <alignment horizontal="right"/>
      <protection hidden="1"/>
    </xf>
    <xf numFmtId="0" fontId="6" fillId="2" borderId="6" xfId="1" applyFont="1" applyFill="1" applyBorder="1" applyProtection="1">
      <protection hidden="1"/>
    </xf>
    <xf numFmtId="0" fontId="1" fillId="2" borderId="7" xfId="1" applyFill="1" applyBorder="1" applyProtection="1">
      <protection hidden="1"/>
    </xf>
    <xf numFmtId="0" fontId="1" fillId="2" borderId="8" xfId="1" applyFill="1" applyBorder="1" applyProtection="1">
      <protection hidden="1"/>
    </xf>
    <xf numFmtId="0" fontId="1" fillId="0" borderId="6" xfId="1" applyBorder="1" applyProtection="1">
      <protection hidden="1"/>
    </xf>
    <xf numFmtId="0" fontId="6" fillId="0" borderId="4" xfId="1" applyFont="1" applyBorder="1" applyProtection="1">
      <protection hidden="1"/>
    </xf>
    <xf numFmtId="0" fontId="7" fillId="3" borderId="4" xfId="1" applyFont="1" applyFill="1" applyBorder="1" applyProtection="1">
      <protection hidden="1"/>
    </xf>
    <xf numFmtId="0" fontId="7" fillId="3" borderId="0" xfId="1" applyFont="1" applyFill="1" applyProtection="1">
      <protection hidden="1"/>
    </xf>
    <xf numFmtId="0" fontId="7" fillId="3" borderId="5" xfId="1" applyFont="1" applyFill="1" applyBorder="1" applyProtection="1">
      <protection hidden="1"/>
    </xf>
    <xf numFmtId="0" fontId="1" fillId="4" borderId="0" xfId="1" applyFill="1" applyProtection="1">
      <protection hidden="1"/>
    </xf>
    <xf numFmtId="0" fontId="8" fillId="0" borderId="4" xfId="1" applyFont="1" applyBorder="1" applyProtection="1">
      <protection hidden="1"/>
    </xf>
    <xf numFmtId="0" fontId="8" fillId="0" borderId="0" xfId="1" applyFont="1" applyProtection="1">
      <protection hidden="1"/>
    </xf>
    <xf numFmtId="0" fontId="8" fillId="0" borderId="5" xfId="1" applyFont="1" applyBorder="1" applyProtection="1">
      <protection hidden="1"/>
    </xf>
    <xf numFmtId="0" fontId="1" fillId="0" borderId="4" xfId="1" applyBorder="1" applyProtection="1">
      <protection hidden="1"/>
    </xf>
    <xf numFmtId="0" fontId="1" fillId="0" borderId="10" xfId="1" applyBorder="1" applyAlignment="1" applyProtection="1">
      <alignment horizontal="center"/>
      <protection hidden="1"/>
    </xf>
    <xf numFmtId="0" fontId="1" fillId="0" borderId="11" xfId="1" applyBorder="1" applyAlignment="1" applyProtection="1">
      <alignment horizontal="center"/>
      <protection hidden="1"/>
    </xf>
    <xf numFmtId="0" fontId="1" fillId="0" borderId="0" xfId="1" applyAlignment="1" applyProtection="1">
      <alignment horizontal="center"/>
      <protection hidden="1"/>
    </xf>
    <xf numFmtId="0" fontId="1" fillId="0" borderId="12" xfId="1" applyBorder="1" applyProtection="1">
      <protection hidden="1"/>
    </xf>
    <xf numFmtId="0" fontId="1" fillId="0" borderId="13" xfId="1" applyBorder="1" applyProtection="1">
      <protection hidden="1"/>
    </xf>
    <xf numFmtId="49" fontId="9" fillId="0" borderId="0" xfId="1" applyNumberFormat="1" applyFont="1" applyAlignment="1" applyProtection="1">
      <alignment horizontal="center"/>
      <protection hidden="1"/>
    </xf>
    <xf numFmtId="0" fontId="11" fillId="0" borderId="4" xfId="1" applyFont="1" applyBorder="1" applyProtection="1">
      <protection hidden="1"/>
    </xf>
    <xf numFmtId="0" fontId="11" fillId="0" borderId="4" xfId="1" applyFont="1" applyBorder="1" applyAlignment="1" applyProtection="1">
      <alignment horizontal="left"/>
      <protection hidden="1"/>
    </xf>
    <xf numFmtId="0" fontId="11" fillId="0" borderId="0" xfId="1" applyFont="1" applyAlignment="1" applyProtection="1">
      <alignment horizontal="left"/>
      <protection hidden="1"/>
    </xf>
    <xf numFmtId="49" fontId="9" fillId="0" borderId="0" xfId="1" applyNumberFormat="1" applyFont="1" applyAlignment="1" applyProtection="1">
      <alignment horizontal="left"/>
      <protection hidden="1"/>
    </xf>
    <xf numFmtId="49" fontId="9" fillId="0" borderId="5" xfId="1" applyNumberFormat="1" applyFont="1" applyBorder="1" applyAlignment="1" applyProtection="1">
      <alignment horizontal="left"/>
      <protection hidden="1"/>
    </xf>
    <xf numFmtId="0" fontId="12" fillId="5" borderId="4" xfId="1" applyFont="1" applyFill="1" applyBorder="1" applyProtection="1">
      <protection hidden="1"/>
    </xf>
    <xf numFmtId="0" fontId="1" fillId="5" borderId="0" xfId="1" applyFill="1" applyProtection="1">
      <protection hidden="1"/>
    </xf>
    <xf numFmtId="49" fontId="1" fillId="5" borderId="0" xfId="1" applyNumberFormat="1" applyFill="1" applyProtection="1">
      <protection hidden="1"/>
    </xf>
    <xf numFmtId="49" fontId="1" fillId="5" borderId="0" xfId="1" applyNumberFormat="1" applyFill="1" applyAlignment="1" applyProtection="1">
      <alignment horizontal="center"/>
      <protection hidden="1"/>
    </xf>
    <xf numFmtId="0" fontId="13" fillId="5" borderId="0" xfId="1" applyFont="1" applyFill="1" applyProtection="1">
      <protection hidden="1"/>
    </xf>
    <xf numFmtId="0" fontId="14" fillId="5" borderId="0" xfId="1" applyFont="1" applyFill="1" applyProtection="1">
      <protection hidden="1"/>
    </xf>
    <xf numFmtId="0" fontId="15" fillId="5" borderId="0" xfId="1" applyFont="1" applyFill="1" applyAlignment="1" applyProtection="1">
      <alignment horizontal="center"/>
      <protection hidden="1"/>
    </xf>
    <xf numFmtId="0" fontId="4" fillId="5" borderId="0" xfId="1" applyFont="1" applyFill="1" applyAlignment="1" applyProtection="1">
      <alignment horizontal="left"/>
      <protection hidden="1"/>
    </xf>
    <xf numFmtId="0" fontId="1" fillId="5" borderId="5" xfId="1" applyFill="1" applyBorder="1" applyProtection="1">
      <protection hidden="1"/>
    </xf>
    <xf numFmtId="0" fontId="17" fillId="5" borderId="0" xfId="1" applyFont="1" applyFill="1" applyProtection="1">
      <protection hidden="1"/>
    </xf>
    <xf numFmtId="0" fontId="12" fillId="5" borderId="0" xfId="1" applyFont="1" applyFill="1" applyProtection="1">
      <protection hidden="1"/>
    </xf>
    <xf numFmtId="0" fontId="4" fillId="0" borderId="4" xfId="1" applyFont="1" applyBorder="1" applyProtection="1">
      <protection hidden="1"/>
    </xf>
    <xf numFmtId="0" fontId="11" fillId="0" borderId="0" xfId="1" applyFont="1" applyProtection="1">
      <protection hidden="1"/>
    </xf>
    <xf numFmtId="0" fontId="1" fillId="0" borderId="6" xfId="1" applyBorder="1" applyAlignment="1" applyProtection="1">
      <alignment horizontal="center"/>
      <protection hidden="1"/>
    </xf>
    <xf numFmtId="0" fontId="1" fillId="0" borderId="7" xfId="1" applyBorder="1" applyAlignment="1" applyProtection="1">
      <alignment horizontal="center"/>
      <protection hidden="1"/>
    </xf>
    <xf numFmtId="49" fontId="9" fillId="0" borderId="7" xfId="1" applyNumberFormat="1" applyFont="1" applyBorder="1" applyAlignment="1" applyProtection="1">
      <alignment horizontal="center"/>
      <protection hidden="1"/>
    </xf>
    <xf numFmtId="0" fontId="18" fillId="0" borderId="7" xfId="1" applyFont="1" applyBorder="1" applyProtection="1">
      <protection hidden="1"/>
    </xf>
    <xf numFmtId="0" fontId="19" fillId="3" borderId="14" xfId="1" applyFont="1" applyFill="1" applyBorder="1" applyProtection="1">
      <protection hidden="1"/>
    </xf>
    <xf numFmtId="0" fontId="20" fillId="3" borderId="15" xfId="1" applyFont="1" applyFill="1" applyBorder="1" applyProtection="1">
      <protection hidden="1"/>
    </xf>
    <xf numFmtId="0" fontId="20" fillId="3" borderId="16" xfId="1" applyFont="1" applyFill="1" applyBorder="1" applyProtection="1">
      <protection hidden="1"/>
    </xf>
    <xf numFmtId="0" fontId="1" fillId="0" borderId="1" xfId="1" applyBorder="1" applyProtection="1">
      <protection hidden="1"/>
    </xf>
    <xf numFmtId="49" fontId="1" fillId="4" borderId="0" xfId="1" applyNumberFormat="1" applyFill="1" applyProtection="1">
      <protection hidden="1"/>
    </xf>
    <xf numFmtId="0" fontId="21" fillId="0" borderId="7" xfId="1" applyFont="1" applyBorder="1" applyProtection="1">
      <protection hidden="1"/>
    </xf>
    <xf numFmtId="0" fontId="21" fillId="0" borderId="5" xfId="1" quotePrefix="1" applyFont="1" applyBorder="1" applyProtection="1">
      <protection hidden="1"/>
    </xf>
    <xf numFmtId="0" fontId="21" fillId="0" borderId="0" xfId="1" applyFont="1" applyProtection="1">
      <protection hidden="1"/>
    </xf>
    <xf numFmtId="49" fontId="1" fillId="0" borderId="0" xfId="1" applyNumberFormat="1" applyProtection="1">
      <protection hidden="1"/>
    </xf>
    <xf numFmtId="0" fontId="1" fillId="0" borderId="16" xfId="1" applyBorder="1" applyProtection="1">
      <protection hidden="1"/>
    </xf>
    <xf numFmtId="0" fontId="1" fillId="0" borderId="0" xfId="1" quotePrefix="1" applyAlignment="1" applyProtection="1">
      <alignment horizontal="center"/>
      <protection hidden="1"/>
    </xf>
    <xf numFmtId="0" fontId="19" fillId="3" borderId="4" xfId="1" applyFont="1" applyFill="1" applyBorder="1" applyProtection="1">
      <protection hidden="1"/>
    </xf>
    <xf numFmtId="0" fontId="20" fillId="3" borderId="17" xfId="1" applyFont="1" applyFill="1" applyBorder="1" applyProtection="1">
      <protection hidden="1"/>
    </xf>
    <xf numFmtId="0" fontId="20" fillId="3" borderId="0" xfId="1" applyFont="1" applyFill="1" applyProtection="1">
      <protection hidden="1"/>
    </xf>
    <xf numFmtId="49" fontId="23" fillId="3" borderId="17" xfId="1" applyNumberFormat="1" applyFont="1" applyFill="1" applyBorder="1" applyAlignment="1" applyProtection="1">
      <alignment horizontal="center"/>
      <protection hidden="1"/>
    </xf>
    <xf numFmtId="0" fontId="20" fillId="3" borderId="17" xfId="1" applyFont="1" applyFill="1" applyBorder="1" applyAlignment="1" applyProtection="1">
      <alignment horizontal="center"/>
      <protection hidden="1"/>
    </xf>
    <xf numFmtId="0" fontId="20" fillId="3" borderId="5" xfId="1" applyFont="1" applyFill="1" applyBorder="1" applyProtection="1">
      <protection hidden="1"/>
    </xf>
    <xf numFmtId="0" fontId="1" fillId="0" borderId="0" xfId="1" applyAlignment="1">
      <alignment horizontal="center" vertical="center"/>
    </xf>
    <xf numFmtId="0" fontId="4" fillId="0" borderId="18" xfId="1" applyFont="1" applyBorder="1" applyAlignment="1" applyProtection="1">
      <alignment horizontal="center"/>
      <protection hidden="1"/>
    </xf>
    <xf numFmtId="0" fontId="24" fillId="0" borderId="3" xfId="1" applyFont="1" applyBorder="1" applyAlignment="1" applyProtection="1">
      <alignment horizontal="center"/>
      <protection hidden="1"/>
    </xf>
    <xf numFmtId="0" fontId="1" fillId="0" borderId="3" xfId="1" applyBorder="1" applyAlignment="1" applyProtection="1">
      <alignment horizontal="center"/>
      <protection hidden="1"/>
    </xf>
    <xf numFmtId="0" fontId="9" fillId="0" borderId="3" xfId="1" applyFont="1" applyBorder="1" applyAlignment="1" applyProtection="1">
      <alignment horizontal="center"/>
      <protection hidden="1"/>
    </xf>
    <xf numFmtId="0" fontId="24" fillId="0" borderId="19" xfId="1" applyFont="1" applyBorder="1" applyAlignment="1" applyProtection="1">
      <alignment horizontal="center"/>
      <protection hidden="1"/>
    </xf>
    <xf numFmtId="0" fontId="9" fillId="0" borderId="19" xfId="1" applyFont="1" applyBorder="1" applyAlignment="1" applyProtection="1">
      <alignment horizontal="center"/>
      <protection hidden="1"/>
    </xf>
    <xf numFmtId="0" fontId="9" fillId="0" borderId="8" xfId="1" applyFont="1" applyBorder="1" applyAlignment="1" applyProtection="1">
      <alignment horizontal="center"/>
      <protection hidden="1"/>
    </xf>
    <xf numFmtId="0" fontId="1" fillId="0" borderId="8" xfId="1" applyBorder="1" applyAlignment="1" applyProtection="1">
      <alignment horizontal="center"/>
      <protection hidden="1"/>
    </xf>
    <xf numFmtId="0" fontId="4" fillId="0" borderId="12" xfId="1" applyFont="1" applyBorder="1" applyAlignment="1" applyProtection="1">
      <alignment horizontal="center"/>
      <protection hidden="1"/>
    </xf>
    <xf numFmtId="0" fontId="1" fillId="0" borderId="12" xfId="1" applyBorder="1" applyAlignment="1" applyProtection="1">
      <alignment horizontal="center"/>
      <protection hidden="1"/>
    </xf>
    <xf numFmtId="0" fontId="1" fillId="0" borderId="15" xfId="1" applyBorder="1" applyAlignment="1" applyProtection="1">
      <alignment horizontal="center"/>
      <protection hidden="1"/>
    </xf>
    <xf numFmtId="49" fontId="9" fillId="0" borderId="12" xfId="1" applyNumberFormat="1" applyFont="1" applyBorder="1" applyAlignment="1" applyProtection="1">
      <alignment horizontal="center"/>
      <protection hidden="1"/>
    </xf>
    <xf numFmtId="0" fontId="25" fillId="0" borderId="15" xfId="1" applyFont="1" applyBorder="1" applyProtection="1">
      <protection hidden="1"/>
    </xf>
    <xf numFmtId="0" fontId="1" fillId="0" borderId="15" xfId="1" applyBorder="1" applyProtection="1">
      <protection hidden="1"/>
    </xf>
    <xf numFmtId="0" fontId="9" fillId="0" borderId="12" xfId="1" applyFont="1" applyBorder="1" applyAlignment="1" applyProtection="1">
      <alignment horizontal="center"/>
      <protection hidden="1"/>
    </xf>
    <xf numFmtId="0" fontId="1" fillId="0" borderId="14" xfId="1" applyBorder="1"/>
    <xf numFmtId="0" fontId="1" fillId="0" borderId="18" xfId="1" applyBorder="1" applyAlignment="1" applyProtection="1">
      <alignment horizontal="center"/>
      <protection hidden="1"/>
    </xf>
    <xf numFmtId="0" fontId="1" fillId="0" borderId="2" xfId="1" applyBorder="1" applyAlignment="1" applyProtection="1">
      <alignment horizontal="center"/>
      <protection hidden="1"/>
    </xf>
    <xf numFmtId="49" fontId="9" fillId="0" borderId="18" xfId="1" applyNumberFormat="1" applyFont="1" applyBorder="1" applyAlignment="1" applyProtection="1">
      <alignment horizontal="center"/>
      <protection hidden="1"/>
    </xf>
    <xf numFmtId="0" fontId="25" fillId="0" borderId="2" xfId="1" applyFont="1" applyBorder="1" applyProtection="1">
      <protection hidden="1"/>
    </xf>
    <xf numFmtId="0" fontId="4" fillId="0" borderId="19" xfId="1" applyFont="1" applyBorder="1" applyAlignment="1" applyProtection="1">
      <alignment horizontal="center"/>
      <protection hidden="1"/>
    </xf>
    <xf numFmtId="0" fontId="1" fillId="0" borderId="19" xfId="1" applyBorder="1" applyAlignment="1" applyProtection="1">
      <alignment horizontal="center"/>
      <protection hidden="1"/>
    </xf>
    <xf numFmtId="49" fontId="9" fillId="0" borderId="19" xfId="1" applyNumberFormat="1" applyFont="1" applyBorder="1" applyAlignment="1" applyProtection="1">
      <alignment horizontal="center"/>
      <protection hidden="1"/>
    </xf>
    <xf numFmtId="0" fontId="25" fillId="0" borderId="7" xfId="1" applyFont="1" applyBorder="1" applyProtection="1">
      <protection hidden="1"/>
    </xf>
    <xf numFmtId="164" fontId="9" fillId="0" borderId="18" xfId="1" applyNumberFormat="1" applyFont="1" applyBorder="1" applyAlignment="1" applyProtection="1">
      <alignment horizontal="center"/>
      <protection hidden="1"/>
    </xf>
    <xf numFmtId="0" fontId="1" fillId="0" borderId="0" xfId="1"/>
    <xf numFmtId="2" fontId="9" fillId="0" borderId="19" xfId="1" applyNumberFormat="1" applyFont="1" applyBorder="1" applyAlignment="1" applyProtection="1">
      <alignment horizontal="center"/>
      <protection hidden="1"/>
    </xf>
    <xf numFmtId="0" fontId="1" fillId="0" borderId="6" xfId="1" applyBorder="1"/>
    <xf numFmtId="0" fontId="21" fillId="0" borderId="18" xfId="1" applyFont="1" applyBorder="1" applyAlignment="1" applyProtection="1">
      <alignment vertical="center"/>
      <protection hidden="1"/>
    </xf>
    <xf numFmtId="0" fontId="9" fillId="0" borderId="17" xfId="1" applyFont="1" applyBorder="1" applyAlignment="1" applyProtection="1">
      <alignment vertical="center" wrapText="1"/>
      <protection hidden="1"/>
    </xf>
    <xf numFmtId="0" fontId="9" fillId="0" borderId="6" xfId="1" applyFont="1" applyBorder="1" applyAlignment="1" applyProtection="1">
      <alignment vertical="center" wrapText="1"/>
      <protection hidden="1"/>
    </xf>
    <xf numFmtId="0" fontId="1" fillId="0" borderId="8" xfId="1" applyBorder="1" applyAlignment="1" applyProtection="1">
      <alignment horizontal="center" vertical="center"/>
      <protection hidden="1"/>
    </xf>
    <xf numFmtId="0" fontId="9" fillId="0" borderId="19" xfId="1" applyFont="1" applyBorder="1" applyAlignment="1" applyProtection="1">
      <alignment vertical="center" wrapText="1"/>
      <protection hidden="1"/>
    </xf>
    <xf numFmtId="0" fontId="1" fillId="0" borderId="0" xfId="1" applyAlignment="1" applyProtection="1">
      <alignment horizontal="center" vertical="center"/>
      <protection hidden="1"/>
    </xf>
    <xf numFmtId="0" fontId="1" fillId="0" borderId="5" xfId="1" applyBorder="1" applyAlignment="1" applyProtection="1">
      <alignment horizontal="center" vertical="center"/>
      <protection hidden="1"/>
    </xf>
    <xf numFmtId="0" fontId="1" fillId="0" borderId="4" xfId="1" applyBorder="1" applyAlignment="1" applyProtection="1">
      <alignment horizontal="center" vertical="center"/>
      <protection hidden="1"/>
    </xf>
    <xf numFmtId="0" fontId="25" fillId="0" borderId="0" xfId="1" applyFont="1" applyProtection="1">
      <protection hidden="1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4" xfId="1" applyBorder="1" applyProtection="1">
      <protection hidden="1"/>
    </xf>
    <xf numFmtId="0" fontId="1" fillId="0" borderId="6" xfId="1" applyBorder="1" applyAlignment="1" applyProtection="1">
      <alignment horizontal="center" vertical="center"/>
      <protection hidden="1"/>
    </xf>
    <xf numFmtId="0" fontId="1" fillId="0" borderId="25" xfId="1" applyBorder="1" applyProtection="1">
      <protection hidden="1"/>
    </xf>
    <xf numFmtId="0" fontId="1" fillId="0" borderId="24" xfId="1" applyBorder="1" applyProtection="1">
      <protection hidden="1"/>
    </xf>
    <xf numFmtId="0" fontId="1" fillId="0" borderId="26" xfId="1" applyBorder="1" applyProtection="1">
      <protection hidden="1"/>
    </xf>
    <xf numFmtId="0" fontId="1" fillId="0" borderId="27" xfId="1" applyBorder="1" applyAlignment="1">
      <alignment horizontal="center" vertical="center"/>
    </xf>
    <xf numFmtId="0" fontId="4" fillId="0" borderId="17" xfId="1" applyFont="1" applyBorder="1" applyAlignment="1" applyProtection="1">
      <alignment horizontal="center"/>
      <protection hidden="1"/>
    </xf>
    <xf numFmtId="0" fontId="1" fillId="0" borderId="17" xfId="1" applyBorder="1" applyAlignment="1" applyProtection="1">
      <alignment horizontal="center"/>
      <protection hidden="1"/>
    </xf>
    <xf numFmtId="49" fontId="9" fillId="0" borderId="17" xfId="1" applyNumberFormat="1" applyFont="1" applyBorder="1" applyAlignment="1" applyProtection="1">
      <alignment horizontal="center"/>
      <protection hidden="1"/>
    </xf>
    <xf numFmtId="0" fontId="25" fillId="0" borderId="7" xfId="1" quotePrefix="1" applyFont="1" applyBorder="1" applyProtection="1">
      <protection hidden="1"/>
    </xf>
    <xf numFmtId="49" fontId="9" fillId="0" borderId="3" xfId="1" applyNumberFormat="1" applyFont="1" applyBorder="1" applyAlignment="1" applyProtection="1">
      <alignment horizontal="center"/>
      <protection hidden="1"/>
    </xf>
    <xf numFmtId="0" fontId="25" fillId="0" borderId="2" xfId="0" applyFont="1" applyBorder="1" applyProtection="1">
      <protection hidden="1"/>
    </xf>
    <xf numFmtId="0" fontId="1" fillId="0" borderId="28" xfId="1" applyBorder="1" applyProtection="1">
      <protection hidden="1"/>
    </xf>
    <xf numFmtId="0" fontId="1" fillId="0" borderId="29" xfId="1" applyBorder="1" applyProtection="1">
      <protection hidden="1"/>
    </xf>
    <xf numFmtId="0" fontId="1" fillId="0" borderId="30" xfId="1" applyBorder="1" applyProtection="1">
      <protection hidden="1"/>
    </xf>
    <xf numFmtId="0" fontId="1" fillId="0" borderId="31" xfId="1" applyBorder="1" applyProtection="1">
      <protection hidden="1"/>
    </xf>
    <xf numFmtId="49" fontId="9" fillId="0" borderId="8" xfId="1" applyNumberFormat="1" applyFont="1" applyBorder="1" applyAlignment="1" applyProtection="1">
      <alignment horizontal="center"/>
      <protection hidden="1"/>
    </xf>
    <xf numFmtId="0" fontId="25" fillId="0" borderId="7" xfId="0" applyFont="1" applyBorder="1" applyProtection="1">
      <protection hidden="1"/>
    </xf>
    <xf numFmtId="0" fontId="1" fillId="0" borderId="32" xfId="1" applyBorder="1" applyProtection="1">
      <protection hidden="1"/>
    </xf>
    <xf numFmtId="0" fontId="1" fillId="0" borderId="23" xfId="1" applyBorder="1" applyProtection="1">
      <protection hidden="1"/>
    </xf>
    <xf numFmtId="0" fontId="1" fillId="0" borderId="33" xfId="1" applyBorder="1" applyProtection="1">
      <protection hidden="1"/>
    </xf>
    <xf numFmtId="2" fontId="9" fillId="0" borderId="3" xfId="1" applyNumberFormat="1" applyFont="1" applyBorder="1" applyAlignment="1" applyProtection="1">
      <alignment horizontal="center"/>
      <protection hidden="1"/>
    </xf>
    <xf numFmtId="2" fontId="9" fillId="0" borderId="8" xfId="1" applyNumberFormat="1" applyFont="1" applyBorder="1" applyAlignment="1" applyProtection="1">
      <alignment horizontal="center"/>
      <protection hidden="1"/>
    </xf>
    <xf numFmtId="0" fontId="1" fillId="0" borderId="2" xfId="0" applyFont="1" applyBorder="1" applyProtection="1">
      <protection hidden="1"/>
    </xf>
    <xf numFmtId="0" fontId="21" fillId="0" borderId="0" xfId="1" applyFont="1" applyAlignment="1" applyProtection="1">
      <alignment horizontal="center"/>
      <protection hidden="1"/>
    </xf>
    <xf numFmtId="0" fontId="21" fillId="0" borderId="2" xfId="1" applyFont="1" applyBorder="1" applyAlignment="1" applyProtection="1">
      <alignment horizontal="center"/>
      <protection hidden="1"/>
    </xf>
    <xf numFmtId="0" fontId="21" fillId="0" borderId="3" xfId="1" applyFont="1" applyBorder="1" applyAlignment="1" applyProtection="1">
      <alignment horizontal="center"/>
      <protection hidden="1"/>
    </xf>
    <xf numFmtId="0" fontId="1" fillId="0" borderId="7" xfId="0" applyFont="1" applyBorder="1" applyProtection="1">
      <protection hidden="1"/>
    </xf>
    <xf numFmtId="0" fontId="21" fillId="0" borderId="7" xfId="1" applyFont="1" applyBorder="1" applyAlignment="1" applyProtection="1">
      <alignment horizontal="center"/>
      <protection hidden="1"/>
    </xf>
    <xf numFmtId="0" fontId="21" fillId="0" borderId="8" xfId="1" applyFont="1" applyBorder="1" applyAlignment="1" applyProtection="1">
      <alignment horizontal="center"/>
      <protection hidden="1"/>
    </xf>
    <xf numFmtId="0" fontId="1" fillId="0" borderId="15" xfId="0" applyFont="1" applyBorder="1" applyProtection="1">
      <protection hidden="1"/>
    </xf>
    <xf numFmtId="0" fontId="1" fillId="0" borderId="34" xfId="1" applyBorder="1" applyProtection="1">
      <protection hidden="1"/>
    </xf>
    <xf numFmtId="0" fontId="1" fillId="0" borderId="35" xfId="1" applyBorder="1" applyProtection="1">
      <protection hidden="1"/>
    </xf>
    <xf numFmtId="0" fontId="25" fillId="0" borderId="14" xfId="0" applyFont="1" applyBorder="1" applyProtection="1">
      <protection hidden="1"/>
    </xf>
    <xf numFmtId="0" fontId="1" fillId="0" borderId="36" xfId="1" applyBorder="1" applyProtection="1">
      <protection hidden="1"/>
    </xf>
    <xf numFmtId="0" fontId="18" fillId="0" borderId="15" xfId="1" applyFont="1" applyBorder="1" applyProtection="1">
      <protection hidden="1"/>
    </xf>
    <xf numFmtId="0" fontId="1" fillId="0" borderId="37" xfId="1" applyBorder="1" applyProtection="1">
      <protection hidden="1"/>
    </xf>
    <xf numFmtId="0" fontId="1" fillId="0" borderId="38" xfId="1" applyBorder="1" applyProtection="1">
      <protection hidden="1"/>
    </xf>
    <xf numFmtId="0" fontId="9" fillId="0" borderId="18" xfId="1" applyFont="1" applyBorder="1" applyAlignment="1" applyProtection="1">
      <alignment horizontal="center"/>
      <protection hidden="1"/>
    </xf>
    <xf numFmtId="0" fontId="1" fillId="6" borderId="15" xfId="1" applyFill="1" applyBorder="1" applyAlignment="1" applyProtection="1">
      <alignment horizontal="center"/>
      <protection hidden="1"/>
    </xf>
    <xf numFmtId="2" fontId="9" fillId="0" borderId="12" xfId="1" applyNumberFormat="1" applyFont="1" applyBorder="1" applyAlignment="1" applyProtection="1">
      <alignment horizontal="center"/>
      <protection hidden="1"/>
    </xf>
    <xf numFmtId="0" fontId="19" fillId="3" borderId="39" xfId="1" applyFont="1" applyFill="1" applyBorder="1" applyProtection="1">
      <protection hidden="1"/>
    </xf>
    <xf numFmtId="0" fontId="20" fillId="3" borderId="40" xfId="1" applyFont="1" applyFill="1" applyBorder="1" applyProtection="1">
      <protection hidden="1"/>
    </xf>
    <xf numFmtId="49" fontId="23" fillId="3" borderId="40" xfId="1" applyNumberFormat="1" applyFont="1" applyFill="1" applyBorder="1" applyAlignment="1" applyProtection="1">
      <alignment horizontal="center"/>
      <protection hidden="1"/>
    </xf>
    <xf numFmtId="0" fontId="7" fillId="3" borderId="40" xfId="1" applyFont="1" applyFill="1" applyBorder="1" applyProtection="1">
      <protection hidden="1"/>
    </xf>
    <xf numFmtId="0" fontId="20" fillId="3" borderId="41" xfId="1" applyFont="1" applyFill="1" applyBorder="1" applyProtection="1">
      <protection hidden="1"/>
    </xf>
    <xf numFmtId="0" fontId="3" fillId="2" borderId="9" xfId="1" applyFont="1" applyFill="1" applyBorder="1" applyProtection="1">
      <protection hidden="1"/>
    </xf>
    <xf numFmtId="0" fontId="3" fillId="2" borderId="10" xfId="1" applyFont="1" applyFill="1" applyBorder="1" applyProtection="1">
      <protection hidden="1"/>
    </xf>
    <xf numFmtId="0" fontId="1" fillId="2" borderId="10" xfId="1" applyFill="1" applyBorder="1" applyProtection="1">
      <protection hidden="1"/>
    </xf>
    <xf numFmtId="49" fontId="9" fillId="2" borderId="10" xfId="1" applyNumberFormat="1" applyFont="1" applyFill="1" applyBorder="1" applyAlignment="1" applyProtection="1">
      <alignment horizontal="center"/>
      <protection hidden="1"/>
    </xf>
    <xf numFmtId="0" fontId="18" fillId="2" borderId="10" xfId="1" applyFont="1" applyFill="1" applyBorder="1" applyProtection="1">
      <protection hidden="1"/>
    </xf>
    <xf numFmtId="0" fontId="1" fillId="2" borderId="42" xfId="1" applyFill="1" applyBorder="1" applyProtection="1">
      <protection hidden="1"/>
    </xf>
    <xf numFmtId="0" fontId="5" fillId="2" borderId="43" xfId="1" applyFont="1" applyFill="1" applyBorder="1" applyProtection="1">
      <protection hidden="1"/>
    </xf>
    <xf numFmtId="0" fontId="5" fillId="2" borderId="44" xfId="1" applyFont="1" applyFill="1" applyBorder="1" applyProtection="1">
      <protection hidden="1"/>
    </xf>
    <xf numFmtId="49" fontId="9" fillId="2" borderId="44" xfId="1" applyNumberFormat="1" applyFont="1" applyFill="1" applyBorder="1" applyAlignment="1" applyProtection="1">
      <alignment horizontal="center"/>
      <protection hidden="1"/>
    </xf>
    <xf numFmtId="0" fontId="1" fillId="2" borderId="44" xfId="1" applyFill="1" applyBorder="1" applyProtection="1">
      <protection hidden="1"/>
    </xf>
    <xf numFmtId="0" fontId="18" fillId="2" borderId="44" xfId="1" applyFont="1" applyFill="1" applyBorder="1" applyProtection="1">
      <protection hidden="1"/>
    </xf>
    <xf numFmtId="0" fontId="1" fillId="2" borderId="45" xfId="1" applyFill="1" applyBorder="1" applyProtection="1">
      <protection hidden="1"/>
    </xf>
    <xf numFmtId="0" fontId="1" fillId="0" borderId="46" xfId="1" applyBorder="1" applyProtection="1">
      <protection hidden="1"/>
    </xf>
    <xf numFmtId="0" fontId="1" fillId="0" borderId="27" xfId="1" applyBorder="1" applyProtection="1">
      <protection hidden="1"/>
    </xf>
    <xf numFmtId="0" fontId="5" fillId="0" borderId="9" xfId="1" applyFont="1" applyBorder="1" applyProtection="1">
      <protection hidden="1"/>
    </xf>
    <xf numFmtId="0" fontId="5" fillId="0" borderId="10" xfId="1" applyFont="1" applyBorder="1" applyProtection="1">
      <protection hidden="1"/>
    </xf>
    <xf numFmtId="49" fontId="9" fillId="0" borderId="10" xfId="1" applyNumberFormat="1" applyFont="1" applyBorder="1" applyAlignment="1" applyProtection="1">
      <alignment horizontal="center"/>
      <protection hidden="1"/>
    </xf>
    <xf numFmtId="0" fontId="1" fillId="0" borderId="10" xfId="1" applyBorder="1" applyProtection="1">
      <protection hidden="1"/>
    </xf>
    <xf numFmtId="0" fontId="18" fillId="0" borderId="10" xfId="1" applyFont="1" applyBorder="1" applyProtection="1">
      <protection hidden="1"/>
    </xf>
    <xf numFmtId="0" fontId="1" fillId="0" borderId="11" xfId="1" applyBorder="1" applyProtection="1">
      <protection hidden="1"/>
    </xf>
    <xf numFmtId="0" fontId="21" fillId="0" borderId="4" xfId="1" applyFont="1" applyBorder="1" applyProtection="1">
      <protection hidden="1"/>
    </xf>
    <xf numFmtId="0" fontId="18" fillId="0" borderId="0" xfId="1" applyFont="1" applyProtection="1">
      <protection hidden="1"/>
    </xf>
    <xf numFmtId="0" fontId="1" fillId="4" borderId="0" xfId="1" applyFill="1" applyAlignment="1" applyProtection="1">
      <alignment horizontal="left"/>
      <protection hidden="1"/>
    </xf>
    <xf numFmtId="0" fontId="18" fillId="0" borderId="47" xfId="1" applyFont="1" applyBorder="1" applyProtection="1">
      <protection hidden="1"/>
    </xf>
    <xf numFmtId="0" fontId="1" fillId="0" borderId="47" xfId="1" applyBorder="1" applyProtection="1">
      <protection hidden="1"/>
    </xf>
    <xf numFmtId="0" fontId="21" fillId="0" borderId="47" xfId="1" applyFont="1" applyBorder="1" applyProtection="1">
      <protection hidden="1"/>
    </xf>
    <xf numFmtId="0" fontId="21" fillId="0" borderId="5" xfId="1" applyFont="1" applyBorder="1" applyProtection="1">
      <protection hidden="1"/>
    </xf>
    <xf numFmtId="0" fontId="1" fillId="0" borderId="0" xfId="1" applyAlignment="1" applyProtection="1">
      <alignment horizontal="justify" vertical="top" wrapText="1" indent="1"/>
      <protection hidden="1"/>
    </xf>
    <xf numFmtId="0" fontId="11" fillId="0" borderId="0" xfId="1" applyFont="1" applyAlignment="1" applyProtection="1">
      <alignment horizontal="center" vertical="top" wrapText="1"/>
      <protection hidden="1"/>
    </xf>
    <xf numFmtId="0" fontId="11" fillId="0" borderId="0" xfId="1" applyFont="1" applyAlignment="1">
      <alignment horizontal="center" wrapText="1"/>
    </xf>
    <xf numFmtId="0" fontId="11" fillId="7" borderId="0" xfId="1" applyFont="1" applyFill="1" applyAlignment="1">
      <alignment horizontal="center" wrapText="1"/>
    </xf>
    <xf numFmtId="0" fontId="11" fillId="7" borderId="12" xfId="1" applyFont="1" applyFill="1" applyBorder="1" applyAlignment="1">
      <alignment horizontal="center" wrapText="1"/>
    </xf>
    <xf numFmtId="0" fontId="1" fillId="0" borderId="0" xfId="1" applyAlignment="1" applyProtection="1">
      <alignment horizontal="justify" vertical="top" wrapText="1"/>
      <protection hidden="1"/>
    </xf>
    <xf numFmtId="0" fontId="29" fillId="0" borderId="10" xfId="1" applyFont="1" applyBorder="1" applyAlignment="1" applyProtection="1">
      <alignment horizontal="center"/>
      <protection hidden="1"/>
    </xf>
    <xf numFmtId="0" fontId="29" fillId="0" borderId="54" xfId="1" applyFont="1" applyBorder="1" applyAlignment="1" applyProtection="1">
      <alignment horizontal="center" wrapText="1"/>
      <protection hidden="1"/>
    </xf>
    <xf numFmtId="0" fontId="29" fillId="0" borderId="55" xfId="1" applyFont="1" applyBorder="1" applyAlignment="1" applyProtection="1">
      <alignment horizontal="center" wrapText="1"/>
      <protection hidden="1"/>
    </xf>
    <xf numFmtId="0" fontId="29" fillId="0" borderId="7" xfId="1" applyFont="1" applyBorder="1" applyAlignment="1" applyProtection="1">
      <alignment horizontal="center" wrapText="1"/>
      <protection hidden="1"/>
    </xf>
    <xf numFmtId="0" fontId="29" fillId="0" borderId="56" xfId="1" applyFont="1" applyBorder="1" applyAlignment="1" applyProtection="1">
      <alignment horizontal="center" wrapText="1"/>
      <protection hidden="1"/>
    </xf>
    <xf numFmtId="0" fontId="29" fillId="0" borderId="57" xfId="1" applyFont="1" applyBorder="1" applyAlignment="1" applyProtection="1">
      <alignment horizontal="center" wrapText="1"/>
      <protection hidden="1"/>
    </xf>
    <xf numFmtId="0" fontId="29" fillId="0" borderId="58" xfId="1" applyFont="1" applyBorder="1" applyAlignment="1">
      <alignment horizontal="center" wrapText="1"/>
    </xf>
    <xf numFmtId="0" fontId="30" fillId="0" borderId="61" xfId="1" applyFont="1" applyBorder="1" applyAlignment="1" applyProtection="1">
      <alignment horizontal="center"/>
      <protection hidden="1"/>
    </xf>
    <xf numFmtId="0" fontId="30" fillId="0" borderId="62" xfId="1" applyFont="1" applyBorder="1" applyAlignment="1" applyProtection="1">
      <alignment horizontal="center"/>
      <protection hidden="1"/>
    </xf>
    <xf numFmtId="0" fontId="30" fillId="0" borderId="15" xfId="1" applyFont="1" applyBorder="1" applyAlignment="1" applyProtection="1">
      <alignment horizontal="center"/>
      <protection hidden="1"/>
    </xf>
    <xf numFmtId="0" fontId="28" fillId="0" borderId="63" xfId="1" applyFont="1" applyBorder="1" applyAlignment="1" applyProtection="1">
      <alignment horizontal="center"/>
      <protection hidden="1"/>
    </xf>
    <xf numFmtId="0" fontId="28" fillId="0" borderId="64" xfId="1" applyFont="1" applyBorder="1" applyAlignment="1" applyProtection="1">
      <alignment horizontal="center"/>
      <protection hidden="1"/>
    </xf>
    <xf numFmtId="0" fontId="28" fillId="0" borderId="62" xfId="1" applyFont="1" applyBorder="1" applyAlignment="1" applyProtection="1">
      <alignment horizontal="center"/>
      <protection hidden="1"/>
    </xf>
    <xf numFmtId="0" fontId="1" fillId="0" borderId="65" xfId="1" applyBorder="1" applyAlignment="1">
      <alignment horizontal="center"/>
    </xf>
    <xf numFmtId="0" fontId="30" fillId="0" borderId="68" xfId="1" applyFont="1" applyBorder="1" applyAlignment="1" applyProtection="1">
      <alignment horizontal="center"/>
      <protection hidden="1"/>
    </xf>
    <xf numFmtId="0" fontId="30" fillId="0" borderId="69" xfId="1" applyFont="1" applyBorder="1" applyAlignment="1" applyProtection="1">
      <alignment horizontal="center"/>
      <protection hidden="1"/>
    </xf>
    <xf numFmtId="0" fontId="30" fillId="0" borderId="40" xfId="1" applyFont="1" applyBorder="1" applyAlignment="1" applyProtection="1">
      <alignment horizontal="center"/>
      <protection hidden="1"/>
    </xf>
    <xf numFmtId="0" fontId="28" fillId="0" borderId="70" xfId="1" applyFont="1" applyBorder="1" applyAlignment="1" applyProtection="1">
      <alignment horizontal="center"/>
      <protection hidden="1"/>
    </xf>
    <xf numFmtId="0" fontId="28" fillId="0" borderId="71" xfId="1" applyFont="1" applyBorder="1" applyAlignment="1" applyProtection="1">
      <alignment horizontal="center"/>
      <protection hidden="1"/>
    </xf>
    <xf numFmtId="0" fontId="28" fillId="0" borderId="69" xfId="1" applyFont="1" applyBorder="1" applyAlignment="1" applyProtection="1">
      <alignment horizontal="center"/>
      <protection hidden="1"/>
    </xf>
    <xf numFmtId="0" fontId="1" fillId="0" borderId="72" xfId="1" applyBorder="1" applyAlignment="1">
      <alignment horizontal="center"/>
    </xf>
    <xf numFmtId="0" fontId="31" fillId="0" borderId="0" xfId="1" applyFont="1" applyAlignment="1" applyProtection="1">
      <alignment horizontal="left" vertical="center" wrapText="1"/>
      <protection hidden="1"/>
    </xf>
    <xf numFmtId="0" fontId="32" fillId="0" borderId="6" xfId="1" applyFont="1" applyBorder="1" applyAlignment="1">
      <alignment vertical="top" wrapText="1"/>
    </xf>
    <xf numFmtId="0" fontId="32" fillId="0" borderId="7" xfId="1" applyFont="1" applyBorder="1" applyAlignment="1">
      <alignment vertical="top" wrapText="1"/>
    </xf>
    <xf numFmtId="0" fontId="32" fillId="0" borderId="0" xfId="1" applyFont="1" applyAlignment="1">
      <alignment vertical="center"/>
    </xf>
    <xf numFmtId="0" fontId="32" fillId="0" borderId="1" xfId="1" applyFont="1" applyBorder="1" applyAlignment="1">
      <alignment vertical="center" wrapText="1"/>
    </xf>
    <xf numFmtId="0" fontId="34" fillId="0" borderId="2" xfId="1" applyFont="1" applyBorder="1" applyAlignment="1">
      <alignment vertical="top" wrapText="1"/>
    </xf>
    <xf numFmtId="0" fontId="32" fillId="0" borderId="2" xfId="1" applyFont="1" applyBorder="1" applyAlignment="1">
      <alignment vertical="center" wrapText="1"/>
    </xf>
    <xf numFmtId="0" fontId="32" fillId="0" borderId="4" xfId="1" applyFont="1" applyBorder="1" applyAlignment="1">
      <alignment vertical="center" wrapText="1"/>
    </xf>
    <xf numFmtId="0" fontId="34" fillId="0" borderId="0" xfId="1" applyFont="1" applyAlignment="1">
      <alignment vertical="top" wrapText="1"/>
    </xf>
    <xf numFmtId="0" fontId="32" fillId="0" borderId="0" xfId="1" applyFont="1" applyAlignment="1">
      <alignment vertical="center" wrapText="1"/>
    </xf>
    <xf numFmtId="0" fontId="32" fillId="0" borderId="6" xfId="1" applyFont="1" applyBorder="1" applyAlignment="1">
      <alignment vertical="center" wrapText="1"/>
    </xf>
    <xf numFmtId="0" fontId="34" fillId="0" borderId="7" xfId="1" applyFont="1" applyBorder="1" applyAlignment="1">
      <alignment vertical="top" wrapText="1"/>
    </xf>
    <xf numFmtId="0" fontId="32" fillId="0" borderId="7" xfId="1" applyFont="1" applyBorder="1" applyAlignment="1">
      <alignment vertical="center" wrapText="1"/>
    </xf>
    <xf numFmtId="0" fontId="1" fillId="8" borderId="0" xfId="1" applyFill="1"/>
    <xf numFmtId="0" fontId="36" fillId="0" borderId="74" xfId="1" applyFont="1" applyBorder="1" applyAlignment="1">
      <alignment vertical="center"/>
    </xf>
    <xf numFmtId="0" fontId="36" fillId="0" borderId="75" xfId="1" applyFont="1" applyBorder="1" applyAlignment="1">
      <alignment horizontal="center" vertical="center" wrapText="1"/>
    </xf>
    <xf numFmtId="0" fontId="1" fillId="0" borderId="79" xfId="1" applyBorder="1"/>
    <xf numFmtId="0" fontId="1" fillId="0" borderId="80" xfId="1" applyBorder="1"/>
    <xf numFmtId="0" fontId="1" fillId="0" borderId="81" xfId="1" applyBorder="1"/>
    <xf numFmtId="0" fontId="1" fillId="0" borderId="82" xfId="1" applyBorder="1"/>
    <xf numFmtId="0" fontId="1" fillId="0" borderId="86" xfId="1" applyBorder="1"/>
    <xf numFmtId="0" fontId="1" fillId="0" borderId="87" xfId="1" applyBorder="1"/>
    <xf numFmtId="0" fontId="1" fillId="0" borderId="73" xfId="1" applyBorder="1"/>
    <xf numFmtId="0" fontId="1" fillId="0" borderId="75" xfId="1" applyBorder="1"/>
    <xf numFmtId="0" fontId="1" fillId="0" borderId="91" xfId="1" applyBorder="1"/>
    <xf numFmtId="0" fontId="1" fillId="0" borderId="92" xfId="1" applyBorder="1"/>
    <xf numFmtId="0" fontId="1" fillId="0" borderId="82" xfId="1" applyBorder="1" applyAlignment="1">
      <alignment vertical="center"/>
    </xf>
    <xf numFmtId="0" fontId="1" fillId="0" borderId="87" xfId="1" applyBorder="1" applyAlignment="1">
      <alignment vertical="center"/>
    </xf>
    <xf numFmtId="0" fontId="36" fillId="0" borderId="73" xfId="1" applyFont="1" applyBorder="1" applyAlignment="1">
      <alignment vertical="center"/>
    </xf>
    <xf numFmtId="0" fontId="1" fillId="0" borderId="93" xfId="1" applyBorder="1"/>
    <xf numFmtId="0" fontId="1" fillId="0" borderId="94" xfId="1" applyBorder="1"/>
    <xf numFmtId="0" fontId="1" fillId="0" borderId="95" xfId="1" applyBorder="1"/>
    <xf numFmtId="0" fontId="1" fillId="0" borderId="74" xfId="1" applyBorder="1"/>
    <xf numFmtId="0" fontId="1" fillId="0" borderId="16" xfId="1" applyBorder="1"/>
    <xf numFmtId="0" fontId="35" fillId="0" borderId="0" xfId="1" applyFont="1" applyAlignment="1">
      <alignment horizontal="left" vertical="center" wrapText="1"/>
    </xf>
    <xf numFmtId="0" fontId="1" fillId="0" borderId="0" xfId="1" applyProtection="1">
      <protection hidden="1"/>
    </xf>
    <xf numFmtId="0" fontId="1" fillId="0" borderId="5" xfId="1" applyBorder="1" applyProtection="1">
      <protection hidden="1"/>
    </xf>
    <xf numFmtId="0" fontId="1" fillId="0" borderId="7" xfId="1" applyBorder="1" applyProtection="1">
      <protection hidden="1"/>
    </xf>
    <xf numFmtId="0" fontId="1" fillId="0" borderId="8" xfId="1" applyBorder="1" applyProtection="1">
      <protection hidden="1"/>
    </xf>
    <xf numFmtId="0" fontId="6" fillId="4" borderId="0" xfId="1" applyFont="1" applyFill="1" applyProtection="1">
      <protection hidden="1"/>
    </xf>
    <xf numFmtId="0" fontId="6" fillId="4" borderId="0" xfId="1" applyFont="1" applyFill="1" applyAlignment="1" applyProtection="1">
      <alignment horizontal="center"/>
      <protection hidden="1"/>
    </xf>
    <xf numFmtId="0" fontId="11" fillId="0" borderId="4" xfId="1" applyFont="1" applyBorder="1" applyAlignment="1" applyProtection="1">
      <protection hidden="1"/>
    </xf>
    <xf numFmtId="0" fontId="11" fillId="0" borderId="0" xfId="1" applyFont="1" applyAlignment="1" applyProtection="1">
      <protection hidden="1"/>
    </xf>
    <xf numFmtId="0" fontId="11" fillId="0" borderId="5" xfId="1" applyFont="1" applyBorder="1" applyAlignment="1" applyProtection="1">
      <protection hidden="1"/>
    </xf>
    <xf numFmtId="0" fontId="38" fillId="5" borderId="0" xfId="1" applyFont="1" applyFill="1" applyAlignment="1" applyProtection="1">
      <alignment horizontal="center"/>
      <protection hidden="1"/>
    </xf>
    <xf numFmtId="0" fontId="1" fillId="0" borderId="10" xfId="1" applyBorder="1" applyAlignment="1" applyProtection="1">
      <alignment horizontal="center"/>
      <protection hidden="1"/>
    </xf>
    <xf numFmtId="0" fontId="1" fillId="0" borderId="11" xfId="1" applyBorder="1" applyAlignment="1" applyProtection="1">
      <alignment horizontal="center"/>
      <protection hidden="1"/>
    </xf>
    <xf numFmtId="0" fontId="5" fillId="0" borderId="4" xfId="1" applyFont="1" applyBorder="1" applyAlignment="1" applyProtection="1">
      <alignment horizontal="center"/>
      <protection hidden="1"/>
    </xf>
    <xf numFmtId="0" fontId="1" fillId="0" borderId="0" xfId="1" applyAlignment="1" applyProtection="1">
      <alignment horizontal="center"/>
      <protection hidden="1"/>
    </xf>
    <xf numFmtId="0" fontId="1" fillId="0" borderId="5" xfId="1" applyBorder="1" applyAlignment="1" applyProtection="1">
      <alignment horizontal="center"/>
      <protection hidden="1"/>
    </xf>
    <xf numFmtId="49" fontId="9" fillId="0" borderId="4" xfId="1" applyNumberFormat="1" applyFont="1" applyBorder="1" applyAlignment="1" applyProtection="1">
      <alignment horizontal="center"/>
      <protection hidden="1"/>
    </xf>
    <xf numFmtId="49" fontId="9" fillId="0" borderId="0" xfId="1" applyNumberFormat="1" applyFont="1" applyAlignment="1" applyProtection="1">
      <alignment horizontal="center"/>
      <protection hidden="1"/>
    </xf>
    <xf numFmtId="49" fontId="9" fillId="0" borderId="5" xfId="1" applyNumberFormat="1" applyFont="1" applyBorder="1" applyAlignment="1" applyProtection="1">
      <alignment horizontal="center"/>
      <protection hidden="1"/>
    </xf>
    <xf numFmtId="0" fontId="1" fillId="0" borderId="4" xfId="1" applyBorder="1" applyAlignment="1" applyProtection="1">
      <alignment horizontal="center"/>
      <protection hidden="1"/>
    </xf>
    <xf numFmtId="0" fontId="3" fillId="4" borderId="0" xfId="1" applyFont="1" applyFill="1" applyAlignment="1" applyProtection="1">
      <alignment horizontal="left"/>
      <protection hidden="1"/>
    </xf>
    <xf numFmtId="0" fontId="1" fillId="0" borderId="9" xfId="1" applyBorder="1" applyAlignment="1" applyProtection="1">
      <alignment horizontal="center"/>
      <protection hidden="1"/>
    </xf>
    <xf numFmtId="49" fontId="1" fillId="0" borderId="9" xfId="1" applyNumberFormat="1" applyBorder="1" applyAlignment="1" applyProtection="1">
      <alignment horizontal="left"/>
      <protection hidden="1"/>
    </xf>
    <xf numFmtId="49" fontId="1" fillId="0" borderId="10" xfId="1" applyNumberFormat="1" applyBorder="1" applyAlignment="1" applyProtection="1">
      <alignment horizontal="left"/>
      <protection hidden="1"/>
    </xf>
    <xf numFmtId="49" fontId="1" fillId="0" borderId="11" xfId="1" applyNumberFormat="1" applyBorder="1" applyAlignment="1" applyProtection="1">
      <alignment horizontal="left"/>
      <protection hidden="1"/>
    </xf>
    <xf numFmtId="0" fontId="10" fillId="0" borderId="6" xfId="1" applyFont="1" applyBorder="1" applyAlignment="1" applyProtection="1">
      <alignment horizontal="center"/>
      <protection hidden="1"/>
    </xf>
    <xf numFmtId="0" fontId="10" fillId="0" borderId="7" xfId="1" applyFont="1" applyBorder="1" applyAlignment="1" applyProtection="1">
      <alignment horizontal="center"/>
      <protection hidden="1"/>
    </xf>
    <xf numFmtId="0" fontId="10" fillId="0" borderId="8" xfId="1" applyFont="1" applyBorder="1" applyAlignment="1" applyProtection="1">
      <alignment horizontal="center"/>
      <protection hidden="1"/>
    </xf>
    <xf numFmtId="49" fontId="9" fillId="0" borderId="6" xfId="1" applyNumberFormat="1" applyFont="1" applyBorder="1" applyAlignment="1" applyProtection="1">
      <alignment horizontal="center"/>
      <protection hidden="1"/>
    </xf>
    <xf numFmtId="49" fontId="9" fillId="0" borderId="7" xfId="1" applyNumberFormat="1" applyFont="1" applyBorder="1" applyAlignment="1" applyProtection="1">
      <alignment horizontal="center"/>
      <protection hidden="1"/>
    </xf>
    <xf numFmtId="49" fontId="9" fillId="0" borderId="8" xfId="1" applyNumberFormat="1" applyFont="1" applyBorder="1" applyAlignment="1" applyProtection="1">
      <alignment horizontal="center"/>
      <protection hidden="1"/>
    </xf>
    <xf numFmtId="0" fontId="1" fillId="0" borderId="6" xfId="1" applyBorder="1" applyAlignment="1" applyProtection="1">
      <alignment horizontal="center"/>
      <protection hidden="1"/>
    </xf>
    <xf numFmtId="0" fontId="1" fillId="0" borderId="7" xfId="1" applyBorder="1" applyAlignment="1" applyProtection="1">
      <alignment horizontal="center"/>
      <protection hidden="1"/>
    </xf>
    <xf numFmtId="0" fontId="1" fillId="0" borderId="8" xfId="1" applyBorder="1" applyAlignment="1" applyProtection="1">
      <alignment horizontal="center"/>
      <protection hidden="1"/>
    </xf>
    <xf numFmtId="0" fontId="10" fillId="0" borderId="4" xfId="1" applyFont="1" applyBorder="1" applyAlignment="1" applyProtection="1">
      <alignment horizontal="center"/>
      <protection hidden="1"/>
    </xf>
    <xf numFmtId="0" fontId="10" fillId="0" borderId="0" xfId="1" applyFont="1" applyAlignment="1" applyProtection="1">
      <alignment horizontal="center"/>
      <protection hidden="1"/>
    </xf>
    <xf numFmtId="0" fontId="10" fillId="0" borderId="5" xfId="1" applyFont="1" applyBorder="1" applyAlignment="1" applyProtection="1">
      <alignment horizontal="center"/>
      <protection hidden="1"/>
    </xf>
    <xf numFmtId="0" fontId="10" fillId="0" borderId="12" xfId="1" applyFont="1" applyBorder="1" applyAlignment="1" applyProtection="1">
      <alignment horizontal="center"/>
      <protection hidden="1"/>
    </xf>
    <xf numFmtId="49" fontId="9" fillId="0" borderId="12" xfId="1" applyNumberFormat="1" applyFont="1" applyBorder="1" applyAlignment="1" applyProtection="1">
      <alignment horizontal="center"/>
      <protection hidden="1"/>
    </xf>
    <xf numFmtId="0" fontId="1" fillId="0" borderId="12" xfId="1" applyBorder="1" applyAlignment="1" applyProtection="1">
      <alignment horizontal="center"/>
      <protection hidden="1"/>
    </xf>
    <xf numFmtId="0" fontId="1" fillId="0" borderId="9" xfId="1" applyBorder="1" applyAlignment="1" applyProtection="1">
      <alignment horizontal="left"/>
      <protection hidden="1"/>
    </xf>
    <xf numFmtId="0" fontId="1" fillId="0" borderId="10" xfId="1" applyBorder="1" applyAlignment="1" applyProtection="1">
      <alignment horizontal="left"/>
      <protection hidden="1"/>
    </xf>
    <xf numFmtId="0" fontId="1" fillId="0" borderId="11" xfId="1" applyBorder="1" applyAlignment="1" applyProtection="1">
      <alignment horizontal="left"/>
      <protection hidden="1"/>
    </xf>
    <xf numFmtId="0" fontId="10" fillId="0" borderId="13" xfId="1" applyFont="1" applyBorder="1" applyAlignment="1" applyProtection="1">
      <alignment horizontal="center"/>
      <protection hidden="1"/>
    </xf>
    <xf numFmtId="49" fontId="9" fillId="0" borderId="13" xfId="1" applyNumberFormat="1" applyFont="1" applyBorder="1" applyAlignment="1" applyProtection="1">
      <alignment horizontal="center"/>
      <protection hidden="1"/>
    </xf>
    <xf numFmtId="0" fontId="1" fillId="0" borderId="13" xfId="1" applyBorder="1" applyAlignment="1" applyProtection="1">
      <alignment horizontal="center"/>
      <protection hidden="1"/>
    </xf>
    <xf numFmtId="0" fontId="1" fillId="5" borderId="0" xfId="1" applyFill="1" applyAlignment="1" applyProtection="1">
      <alignment horizontal="center"/>
      <protection hidden="1"/>
    </xf>
    <xf numFmtId="0" fontId="1" fillId="5" borderId="5" xfId="1" applyFill="1" applyBorder="1" applyAlignment="1" applyProtection="1">
      <alignment horizontal="center"/>
      <protection hidden="1"/>
    </xf>
    <xf numFmtId="0" fontId="38" fillId="5" borderId="0" xfId="1" applyFont="1" applyFill="1" applyAlignment="1" applyProtection="1">
      <alignment horizontal="center"/>
      <protection hidden="1"/>
    </xf>
    <xf numFmtId="0" fontId="1" fillId="0" borderId="14" xfId="1" applyBorder="1" applyAlignment="1" applyProtection="1">
      <alignment horizontal="center"/>
      <protection hidden="1"/>
    </xf>
    <xf numFmtId="0" fontId="1" fillId="0" borderId="15" xfId="1" applyBorder="1" applyAlignment="1" applyProtection="1">
      <alignment horizontal="center"/>
      <protection hidden="1"/>
    </xf>
    <xf numFmtId="0" fontId="1" fillId="0" borderId="16" xfId="1" applyBorder="1" applyAlignment="1" applyProtection="1">
      <alignment horizontal="center"/>
      <protection hidden="1"/>
    </xf>
    <xf numFmtId="0" fontId="10" fillId="0" borderId="14" xfId="1" applyFont="1" applyBorder="1" applyAlignment="1" applyProtection="1">
      <alignment horizontal="center"/>
      <protection hidden="1"/>
    </xf>
    <xf numFmtId="0" fontId="10" fillId="0" borderId="15" xfId="1" applyFont="1" applyBorder="1" applyAlignment="1" applyProtection="1">
      <alignment horizontal="center"/>
      <protection hidden="1"/>
    </xf>
    <xf numFmtId="0" fontId="10" fillId="0" borderId="16" xfId="1" applyFont="1" applyBorder="1" applyAlignment="1" applyProtection="1">
      <alignment horizontal="center"/>
      <protection hidden="1"/>
    </xf>
    <xf numFmtId="2" fontId="6" fillId="4" borderId="0" xfId="1" applyNumberFormat="1" applyFont="1" applyFill="1" applyAlignment="1" applyProtection="1">
      <alignment horizontal="left"/>
      <protection hidden="1"/>
    </xf>
    <xf numFmtId="49" fontId="6" fillId="4" borderId="0" xfId="1" applyNumberFormat="1" applyFont="1" applyFill="1" applyAlignment="1" applyProtection="1">
      <alignment horizontal="center"/>
      <protection hidden="1"/>
    </xf>
    <xf numFmtId="0" fontId="4" fillId="0" borderId="1" xfId="1" applyFont="1" applyBorder="1" applyAlignment="1" applyProtection="1">
      <alignment horizontal="center"/>
      <protection hidden="1"/>
    </xf>
    <xf numFmtId="0" fontId="4" fillId="0" borderId="2" xfId="1" applyFont="1" applyBorder="1" applyAlignment="1" applyProtection="1">
      <alignment horizontal="center"/>
      <protection hidden="1"/>
    </xf>
    <xf numFmtId="0" fontId="4" fillId="0" borderId="3" xfId="1" applyFont="1" applyBorder="1" applyAlignment="1" applyProtection="1">
      <alignment horizontal="center"/>
      <protection hidden="1"/>
    </xf>
    <xf numFmtId="0" fontId="21" fillId="4" borderId="20" xfId="1" applyFont="1" applyFill="1" applyBorder="1" applyAlignment="1" applyProtection="1">
      <alignment horizontal="center" vertical="center"/>
      <protection hidden="1"/>
    </xf>
    <xf numFmtId="0" fontId="21" fillId="4" borderId="21" xfId="1" applyFont="1" applyFill="1" applyBorder="1" applyAlignment="1" applyProtection="1">
      <alignment horizontal="center" vertical="center"/>
      <protection hidden="1"/>
    </xf>
    <xf numFmtId="0" fontId="21" fillId="4" borderId="22" xfId="1" applyFont="1" applyFill="1" applyBorder="1" applyAlignment="1" applyProtection="1">
      <alignment horizontal="center" vertical="center"/>
      <protection hidden="1"/>
    </xf>
    <xf numFmtId="0" fontId="21" fillId="0" borderId="2" xfId="1" applyFont="1" applyBorder="1" applyAlignment="1" applyProtection="1">
      <alignment horizontal="center" vertical="center"/>
      <protection hidden="1"/>
    </xf>
    <xf numFmtId="0" fontId="21" fillId="0" borderId="3" xfId="1" applyFont="1" applyBorder="1" applyAlignment="1" applyProtection="1">
      <alignment horizontal="center" vertical="center"/>
      <protection hidden="1"/>
    </xf>
    <xf numFmtId="2" fontId="1" fillId="0" borderId="14" xfId="1" quotePrefix="1" applyNumberFormat="1" applyBorder="1" applyAlignment="1" applyProtection="1">
      <alignment horizontal="left" vertical="center"/>
      <protection hidden="1"/>
    </xf>
    <xf numFmtId="2" fontId="1" fillId="0" borderId="15" xfId="1" quotePrefix="1" applyNumberFormat="1" applyBorder="1" applyAlignment="1" applyProtection="1">
      <alignment horizontal="left" vertical="center"/>
      <protection hidden="1"/>
    </xf>
    <xf numFmtId="0" fontId="4" fillId="0" borderId="6" xfId="1" applyFont="1" applyBorder="1" applyAlignment="1" applyProtection="1">
      <alignment horizontal="center"/>
      <protection hidden="1"/>
    </xf>
    <xf numFmtId="0" fontId="4" fillId="0" borderId="7" xfId="1" applyFont="1" applyBorder="1" applyAlignment="1" applyProtection="1">
      <alignment horizontal="center"/>
      <protection hidden="1"/>
    </xf>
    <xf numFmtId="0" fontId="4" fillId="0" borderId="14" xfId="1" applyFont="1" applyBorder="1" applyAlignment="1" applyProtection="1">
      <alignment horizontal="center"/>
      <protection hidden="1"/>
    </xf>
    <xf numFmtId="0" fontId="4" fillId="0" borderId="15" xfId="1" applyFont="1" applyBorder="1" applyAlignment="1" applyProtection="1">
      <alignment horizontal="center"/>
      <protection hidden="1"/>
    </xf>
    <xf numFmtId="0" fontId="21" fillId="0" borderId="1" xfId="1" applyFont="1" applyBorder="1" applyAlignment="1">
      <alignment horizontal="left" vertical="center"/>
    </xf>
    <xf numFmtId="0" fontId="21" fillId="0" borderId="2" xfId="1" applyFont="1" applyBorder="1" applyAlignment="1">
      <alignment horizontal="left" vertical="center"/>
    </xf>
    <xf numFmtId="0" fontId="21" fillId="0" borderId="3" xfId="1" applyFont="1" applyBorder="1" applyAlignment="1">
      <alignment horizontal="left" vertical="center"/>
    </xf>
    <xf numFmtId="0" fontId="21" fillId="0" borderId="1" xfId="1" applyFont="1" applyBorder="1" applyAlignment="1" applyProtection="1">
      <alignment horizontal="left" vertical="center"/>
      <protection hidden="1"/>
    </xf>
    <xf numFmtId="0" fontId="21" fillId="0" borderId="2" xfId="1" applyFont="1" applyBorder="1" applyAlignment="1" applyProtection="1">
      <alignment horizontal="left" vertical="center"/>
      <protection hidden="1"/>
    </xf>
    <xf numFmtId="0" fontId="21" fillId="0" borderId="3" xfId="1" applyFont="1" applyBorder="1" applyAlignment="1" applyProtection="1">
      <alignment horizontal="left" vertical="center"/>
      <protection hidden="1"/>
    </xf>
    <xf numFmtId="0" fontId="9" fillId="0" borderId="4" xfId="1" applyFont="1" applyBorder="1" applyAlignment="1" applyProtection="1">
      <alignment horizontal="left" vertical="center" wrapText="1"/>
      <protection hidden="1"/>
    </xf>
    <xf numFmtId="0" fontId="9" fillId="0" borderId="0" xfId="1" applyFont="1" applyAlignment="1" applyProtection="1">
      <alignment horizontal="left" vertical="center" wrapText="1"/>
      <protection hidden="1"/>
    </xf>
    <xf numFmtId="0" fontId="9" fillId="0" borderId="5" xfId="1" applyFont="1" applyBorder="1" applyAlignment="1" applyProtection="1">
      <alignment horizontal="left" vertical="center" wrapText="1"/>
      <protection hidden="1"/>
    </xf>
    <xf numFmtId="0" fontId="9" fillId="0" borderId="6" xfId="1" applyFont="1" applyBorder="1" applyAlignment="1" applyProtection="1">
      <alignment horizontal="left" vertical="center" wrapText="1"/>
      <protection hidden="1"/>
    </xf>
    <xf numFmtId="0" fontId="9" fillId="0" borderId="7" xfId="1" applyFont="1" applyBorder="1" applyAlignment="1" applyProtection="1">
      <alignment horizontal="left" vertical="center" wrapText="1"/>
      <protection hidden="1"/>
    </xf>
    <xf numFmtId="0" fontId="9" fillId="0" borderId="8" xfId="1" applyFont="1" applyBorder="1" applyAlignment="1" applyProtection="1">
      <alignment horizontal="left" vertical="center" wrapText="1"/>
      <protection hidden="1"/>
    </xf>
    <xf numFmtId="0" fontId="9" fillId="0" borderId="4" xfId="1" applyFont="1" applyBorder="1" applyAlignment="1" applyProtection="1">
      <alignment horizontal="center" vertical="center" wrapText="1"/>
      <protection hidden="1"/>
    </xf>
    <xf numFmtId="0" fontId="9" fillId="0" borderId="0" xfId="1" applyFont="1" applyAlignment="1" applyProtection="1">
      <alignment horizontal="center" vertical="center" wrapText="1"/>
      <protection hidden="1"/>
    </xf>
    <xf numFmtId="0" fontId="9" fillId="0" borderId="5" xfId="1" applyFont="1" applyBorder="1" applyAlignment="1" applyProtection="1">
      <alignment horizontal="center" vertical="center" wrapText="1"/>
      <protection hidden="1"/>
    </xf>
    <xf numFmtId="0" fontId="9" fillId="0" borderId="6" xfId="1" applyFont="1" applyBorder="1" applyAlignment="1" applyProtection="1">
      <alignment horizontal="center" vertical="center" wrapText="1"/>
      <protection hidden="1"/>
    </xf>
    <xf numFmtId="0" fontId="9" fillId="0" borderId="7" xfId="1" applyFont="1" applyBorder="1" applyAlignment="1" applyProtection="1">
      <alignment horizontal="center" vertical="center" wrapText="1"/>
      <protection hidden="1"/>
    </xf>
    <xf numFmtId="0" fontId="9" fillId="0" borderId="8" xfId="1" applyFont="1" applyBorder="1" applyAlignment="1" applyProtection="1">
      <alignment horizontal="center" vertical="center" wrapText="1"/>
      <protection hidden="1"/>
    </xf>
    <xf numFmtId="0" fontId="21" fillId="4" borderId="14" xfId="1" applyFont="1" applyFill="1" applyBorder="1" applyAlignment="1" applyProtection="1">
      <alignment horizontal="center" vertical="center"/>
      <protection hidden="1"/>
    </xf>
    <xf numFmtId="0" fontId="21" fillId="4" borderId="16" xfId="1" applyFont="1" applyFill="1" applyBorder="1" applyAlignment="1" applyProtection="1">
      <alignment horizontal="center" vertical="center"/>
      <protection hidden="1"/>
    </xf>
    <xf numFmtId="2" fontId="1" fillId="0" borderId="1" xfId="1" quotePrefix="1" applyNumberFormat="1" applyBorder="1" applyAlignment="1" applyProtection="1">
      <alignment horizontal="left" vertical="center"/>
      <protection hidden="1"/>
    </xf>
    <xf numFmtId="2" fontId="1" fillId="0" borderId="2" xfId="1" quotePrefix="1" applyNumberFormat="1" applyBorder="1" applyAlignment="1" applyProtection="1">
      <alignment horizontal="left" vertical="center"/>
      <protection hidden="1"/>
    </xf>
    <xf numFmtId="2" fontId="1" fillId="0" borderId="23" xfId="1" quotePrefix="1" applyNumberFormat="1" applyBorder="1" applyAlignment="1" applyProtection="1">
      <alignment horizontal="left" vertical="center"/>
      <protection hidden="1"/>
    </xf>
    <xf numFmtId="2" fontId="1" fillId="0" borderId="24" xfId="1" quotePrefix="1" applyNumberFormat="1" applyBorder="1" applyAlignment="1" applyProtection="1">
      <alignment horizontal="left" vertical="center"/>
      <protection hidden="1"/>
    </xf>
    <xf numFmtId="2" fontId="1" fillId="0" borderId="6" xfId="1" quotePrefix="1" applyNumberFormat="1" applyBorder="1" applyAlignment="1" applyProtection="1">
      <alignment horizontal="left" vertical="center"/>
      <protection hidden="1"/>
    </xf>
    <xf numFmtId="2" fontId="1" fillId="0" borderId="7" xfId="1" quotePrefix="1" applyNumberFormat="1" applyBorder="1" applyAlignment="1" applyProtection="1">
      <alignment horizontal="left" vertical="center"/>
      <protection hidden="1"/>
    </xf>
    <xf numFmtId="0" fontId="21" fillId="4" borderId="6" xfId="1" applyFont="1" applyFill="1" applyBorder="1" applyAlignment="1" applyProtection="1">
      <alignment horizontal="right" vertical="center"/>
      <protection hidden="1"/>
    </xf>
    <xf numFmtId="0" fontId="21" fillId="4" borderId="7" xfId="1" applyFont="1" applyFill="1" applyBorder="1" applyAlignment="1" applyProtection="1">
      <alignment horizontal="right" vertical="center"/>
      <protection hidden="1"/>
    </xf>
    <xf numFmtId="0" fontId="1" fillId="0" borderId="14" xfId="1" applyBorder="1" applyAlignment="1" applyProtection="1">
      <alignment horizontal="left" vertical="center" wrapText="1"/>
      <protection hidden="1"/>
    </xf>
    <xf numFmtId="0" fontId="1" fillId="0" borderId="15" xfId="1" applyBorder="1" applyAlignment="1" applyProtection="1">
      <alignment horizontal="left" vertical="center" wrapText="1"/>
      <protection hidden="1"/>
    </xf>
    <xf numFmtId="2" fontId="1" fillId="0" borderId="14" xfId="1" quotePrefix="1" applyNumberFormat="1" applyBorder="1" applyAlignment="1" applyProtection="1">
      <alignment horizontal="left" vertical="center" wrapText="1"/>
      <protection hidden="1"/>
    </xf>
    <xf numFmtId="2" fontId="1" fillId="0" borderId="15" xfId="1" quotePrefix="1" applyNumberFormat="1" applyBorder="1" applyAlignment="1" applyProtection="1">
      <alignment horizontal="left" vertical="center" wrapText="1"/>
      <protection hidden="1"/>
    </xf>
    <xf numFmtId="49" fontId="1" fillId="0" borderId="15" xfId="1" applyNumberFormat="1" applyBorder="1" applyAlignment="1" applyProtection="1">
      <alignment horizontal="left" vertical="center" wrapText="1"/>
      <protection hidden="1"/>
    </xf>
    <xf numFmtId="0" fontId="21" fillId="0" borderId="29" xfId="1" applyFont="1" applyBorder="1" applyAlignment="1" applyProtection="1">
      <alignment horizontal="center" vertical="top" wrapText="1"/>
      <protection hidden="1"/>
    </xf>
    <xf numFmtId="0" fontId="21" fillId="0" borderId="11" xfId="1" applyFont="1" applyBorder="1" applyAlignment="1" applyProtection="1">
      <alignment horizontal="center" vertical="top" wrapText="1"/>
      <protection hidden="1"/>
    </xf>
    <xf numFmtId="0" fontId="27" fillId="0" borderId="29" xfId="1" applyFont="1" applyBorder="1" applyAlignment="1" applyProtection="1">
      <alignment horizontal="center" vertical="center" wrapText="1"/>
      <protection hidden="1"/>
    </xf>
    <xf numFmtId="0" fontId="27" fillId="0" borderId="10" xfId="1" applyFont="1" applyBorder="1" applyAlignment="1" applyProtection="1">
      <alignment horizontal="center" vertical="center" wrapText="1"/>
      <protection hidden="1"/>
    </xf>
    <xf numFmtId="0" fontId="27" fillId="0" borderId="42" xfId="1" applyFont="1" applyBorder="1" applyAlignment="1" applyProtection="1">
      <alignment horizontal="center" vertical="center" wrapText="1"/>
      <protection hidden="1"/>
    </xf>
    <xf numFmtId="0" fontId="27" fillId="0" borderId="48" xfId="1" applyFont="1" applyBorder="1" applyAlignment="1" applyProtection="1">
      <alignment horizontal="center" vertical="center" wrapText="1"/>
      <protection hidden="1"/>
    </xf>
    <xf numFmtId="0" fontId="27" fillId="0" borderId="0" xfId="1" applyFont="1" applyAlignment="1" applyProtection="1">
      <alignment horizontal="center" vertical="center" wrapText="1"/>
      <protection hidden="1"/>
    </xf>
    <xf numFmtId="0" fontId="27" fillId="0" borderId="49" xfId="1" applyFont="1" applyBorder="1" applyAlignment="1" applyProtection="1">
      <alignment horizontal="center" vertical="center" wrapText="1"/>
      <protection hidden="1"/>
    </xf>
    <xf numFmtId="0" fontId="27" fillId="0" borderId="46" xfId="1" applyFont="1" applyBorder="1" applyAlignment="1" applyProtection="1">
      <alignment horizontal="center" vertical="center" wrapText="1"/>
      <protection hidden="1"/>
    </xf>
    <xf numFmtId="0" fontId="27" fillId="0" borderId="44" xfId="1" applyFont="1" applyBorder="1" applyAlignment="1" applyProtection="1">
      <alignment horizontal="center" vertical="center" wrapText="1"/>
      <protection hidden="1"/>
    </xf>
    <xf numFmtId="0" fontId="27" fillId="0" borderId="45" xfId="1" applyFont="1" applyBorder="1" applyAlignment="1" applyProtection="1">
      <alignment horizontal="center" vertical="center" wrapText="1"/>
      <protection hidden="1"/>
    </xf>
    <xf numFmtId="0" fontId="4" fillId="7" borderId="0" xfId="1" applyFont="1" applyFill="1" applyAlignment="1">
      <alignment horizontal="center" vertical="center" wrapText="1"/>
    </xf>
    <xf numFmtId="0" fontId="21" fillId="0" borderId="23" xfId="1" applyFont="1" applyBorder="1" applyAlignment="1" applyProtection="1">
      <alignment horizontal="center"/>
      <protection hidden="1"/>
    </xf>
    <xf numFmtId="0" fontId="21" fillId="0" borderId="30" xfId="1" applyFont="1" applyBorder="1" applyAlignment="1">
      <alignment horizontal="center"/>
    </xf>
    <xf numFmtId="0" fontId="28" fillId="0" borderId="50" xfId="1" applyFont="1" applyBorder="1" applyAlignment="1" applyProtection="1">
      <alignment horizontal="center"/>
      <protection hidden="1"/>
    </xf>
    <xf numFmtId="0" fontId="1" fillId="0" borderId="50" xfId="1" applyBorder="1" applyAlignment="1">
      <alignment horizontal="center"/>
    </xf>
    <xf numFmtId="0" fontId="1" fillId="0" borderId="50" xfId="1" applyBorder="1"/>
    <xf numFmtId="0" fontId="28" fillId="0" borderId="9" xfId="1" applyFont="1" applyBorder="1" applyAlignment="1" applyProtection="1">
      <alignment horizontal="center"/>
      <protection hidden="1"/>
    </xf>
    <xf numFmtId="0" fontId="28" fillId="0" borderId="10" xfId="1" applyFont="1" applyBorder="1" applyAlignment="1" applyProtection="1">
      <alignment horizontal="center"/>
      <protection hidden="1"/>
    </xf>
    <xf numFmtId="0" fontId="28" fillId="0" borderId="11" xfId="1" applyFont="1" applyBorder="1" applyAlignment="1" applyProtection="1">
      <alignment horizontal="center"/>
      <protection hidden="1"/>
    </xf>
    <xf numFmtId="0" fontId="1" fillId="0" borderId="42" xfId="1" applyBorder="1" applyAlignment="1">
      <alignment horizontal="center"/>
    </xf>
    <xf numFmtId="0" fontId="29" fillId="0" borderId="52" xfId="1" applyFont="1" applyBorder="1" applyAlignment="1" applyProtection="1">
      <alignment horizontal="center"/>
      <protection hidden="1"/>
    </xf>
    <xf numFmtId="0" fontId="29" fillId="0" borderId="32" xfId="1" applyFont="1" applyBorder="1"/>
    <xf numFmtId="0" fontId="29" fillId="0" borderId="53" xfId="1" applyFont="1" applyBorder="1" applyAlignment="1">
      <alignment horizontal="center"/>
    </xf>
    <xf numFmtId="0" fontId="29" fillId="0" borderId="7" xfId="1" applyFont="1" applyBorder="1" applyAlignment="1" applyProtection="1">
      <alignment horizontal="center"/>
      <protection hidden="1"/>
    </xf>
    <xf numFmtId="0" fontId="29" fillId="0" borderId="7" xfId="1" applyFont="1" applyBorder="1" applyAlignment="1">
      <alignment horizontal="center"/>
    </xf>
    <xf numFmtId="0" fontId="29" fillId="0" borderId="52" xfId="1" applyFont="1" applyBorder="1" applyAlignment="1" applyProtection="1">
      <alignment horizontal="center" wrapText="1"/>
      <protection hidden="1"/>
    </xf>
    <xf numFmtId="0" fontId="29" fillId="0" borderId="8" xfId="1" applyFont="1" applyBorder="1" applyAlignment="1" applyProtection="1">
      <alignment horizontal="center" wrapText="1"/>
      <protection hidden="1"/>
    </xf>
    <xf numFmtId="0" fontId="29" fillId="0" borderId="6" xfId="1" applyFont="1" applyBorder="1" applyAlignment="1" applyProtection="1">
      <alignment horizontal="center"/>
      <protection hidden="1"/>
    </xf>
    <xf numFmtId="0" fontId="29" fillId="0" borderId="32" xfId="1" applyFont="1" applyBorder="1" applyAlignment="1" applyProtection="1">
      <alignment horizontal="center"/>
      <protection hidden="1"/>
    </xf>
    <xf numFmtId="0" fontId="1" fillId="0" borderId="29" xfId="1" applyBorder="1" applyAlignment="1" applyProtection="1">
      <alignment horizontal="center"/>
      <protection hidden="1"/>
    </xf>
    <xf numFmtId="0" fontId="1" fillId="0" borderId="42" xfId="1" applyBorder="1"/>
    <xf numFmtId="0" fontId="28" fillId="0" borderId="29" xfId="1" applyFont="1" applyBorder="1" applyAlignment="1" applyProtection="1">
      <alignment horizontal="center"/>
      <protection hidden="1"/>
    </xf>
    <xf numFmtId="0" fontId="28" fillId="0" borderId="51" xfId="1" applyFont="1" applyBorder="1" applyAlignment="1">
      <alignment horizontal="center"/>
    </xf>
    <xf numFmtId="0" fontId="28" fillId="0" borderId="10" xfId="1" applyFont="1" applyBorder="1" applyAlignment="1">
      <alignment horizontal="center"/>
    </xf>
    <xf numFmtId="0" fontId="28" fillId="0" borderId="29" xfId="1" applyFont="1" applyBorder="1" applyAlignment="1" applyProtection="1">
      <alignment horizontal="center" wrapText="1"/>
      <protection hidden="1"/>
    </xf>
    <xf numFmtId="0" fontId="28" fillId="0" borderId="11" xfId="1" applyFont="1" applyBorder="1" applyAlignment="1" applyProtection="1">
      <alignment horizontal="center" wrapText="1"/>
      <protection hidden="1"/>
    </xf>
    <xf numFmtId="0" fontId="28" fillId="0" borderId="9" xfId="1" applyFont="1" applyBorder="1" applyAlignment="1" applyProtection="1">
      <alignment horizontal="center" wrapText="1"/>
      <protection hidden="1"/>
    </xf>
    <xf numFmtId="0" fontId="28" fillId="0" borderId="42" xfId="1" applyFont="1" applyBorder="1" applyAlignment="1" applyProtection="1">
      <alignment horizontal="center"/>
      <protection hidden="1"/>
    </xf>
    <xf numFmtId="0" fontId="29" fillId="0" borderId="10" xfId="1" applyFont="1" applyBorder="1" applyAlignment="1" applyProtection="1">
      <alignment horizontal="center"/>
      <protection hidden="1"/>
    </xf>
    <xf numFmtId="0" fontId="29" fillId="0" borderId="11" xfId="1" applyFont="1" applyBorder="1" applyAlignment="1" applyProtection="1">
      <alignment horizontal="center"/>
      <protection hidden="1"/>
    </xf>
    <xf numFmtId="0" fontId="1" fillId="0" borderId="59" xfId="1" applyBorder="1" applyAlignment="1" applyProtection="1">
      <alignment horizontal="center"/>
      <protection hidden="1"/>
    </xf>
    <xf numFmtId="0" fontId="1" fillId="0" borderId="36" xfId="1" applyBorder="1"/>
    <xf numFmtId="0" fontId="21" fillId="0" borderId="59" xfId="1" applyFont="1" applyBorder="1" applyAlignment="1" applyProtection="1">
      <alignment horizontal="center" vertical="center"/>
      <protection hidden="1"/>
    </xf>
    <xf numFmtId="0" fontId="21" fillId="0" borderId="60" xfId="1" applyFont="1" applyBorder="1" applyAlignment="1">
      <alignment horizontal="center" vertical="center"/>
    </xf>
    <xf numFmtId="0" fontId="1" fillId="0" borderId="15" xfId="1" applyBorder="1" applyAlignment="1" applyProtection="1">
      <alignment horizontal="left" vertical="center"/>
      <protection hidden="1"/>
    </xf>
    <xf numFmtId="0" fontId="1" fillId="0" borderId="15" xfId="1" applyBorder="1" applyAlignment="1">
      <alignment horizontal="left" vertical="center"/>
    </xf>
    <xf numFmtId="0" fontId="1" fillId="0" borderId="59" xfId="1" applyBorder="1" applyAlignment="1" applyProtection="1">
      <alignment horizontal="center" wrapText="1"/>
      <protection hidden="1"/>
    </xf>
    <xf numFmtId="0" fontId="1" fillId="0" borderId="16" xfId="1" applyBorder="1" applyAlignment="1" applyProtection="1">
      <alignment horizontal="center" wrapText="1"/>
      <protection hidden="1"/>
    </xf>
    <xf numFmtId="0" fontId="1" fillId="0" borderId="36" xfId="1" applyBorder="1" applyAlignment="1" applyProtection="1">
      <alignment horizontal="center"/>
      <protection hidden="1"/>
    </xf>
    <xf numFmtId="0" fontId="1" fillId="0" borderId="66" xfId="1" applyBorder="1" applyAlignment="1" applyProtection="1">
      <alignment horizontal="left" vertical="center" wrapText="1"/>
      <protection hidden="1"/>
    </xf>
    <xf numFmtId="0" fontId="1" fillId="0" borderId="15" xfId="1" applyBorder="1" applyAlignment="1">
      <alignment horizontal="left" vertical="center" wrapText="1"/>
    </xf>
    <xf numFmtId="0" fontId="1" fillId="0" borderId="36" xfId="1" applyBorder="1" applyAlignment="1">
      <alignment horizontal="left" vertical="center" wrapText="1"/>
    </xf>
    <xf numFmtId="0" fontId="6" fillId="0" borderId="29" xfId="1" applyFont="1" applyBorder="1" applyAlignment="1" applyProtection="1">
      <alignment horizontal="left" vertical="center" wrapText="1"/>
      <protection hidden="1"/>
    </xf>
    <xf numFmtId="0" fontId="6" fillId="0" borderId="10" xfId="1" applyFont="1" applyBorder="1" applyAlignment="1" applyProtection="1">
      <alignment horizontal="left" vertical="center" wrapText="1"/>
      <protection hidden="1"/>
    </xf>
    <xf numFmtId="0" fontId="6" fillId="0" borderId="42" xfId="1" applyFont="1" applyBorder="1" applyAlignment="1" applyProtection="1">
      <alignment horizontal="left" vertical="center" wrapText="1"/>
      <protection hidden="1"/>
    </xf>
    <xf numFmtId="0" fontId="6" fillId="0" borderId="48" xfId="1" applyFont="1" applyBorder="1" applyAlignment="1" applyProtection="1">
      <alignment horizontal="left" vertical="center" wrapText="1"/>
      <protection hidden="1"/>
    </xf>
    <xf numFmtId="0" fontId="6" fillId="0" borderId="0" xfId="1" applyFont="1" applyAlignment="1" applyProtection="1">
      <alignment horizontal="left" vertical="center" wrapText="1"/>
      <protection hidden="1"/>
    </xf>
    <xf numFmtId="0" fontId="6" fillId="0" borderId="49" xfId="1" applyFont="1" applyBorder="1" applyAlignment="1" applyProtection="1">
      <alignment horizontal="left" vertical="center" wrapText="1"/>
      <protection hidden="1"/>
    </xf>
    <xf numFmtId="0" fontId="6" fillId="0" borderId="46" xfId="1" applyFont="1" applyBorder="1" applyAlignment="1" applyProtection="1">
      <alignment horizontal="left" vertical="center" wrapText="1"/>
      <protection hidden="1"/>
    </xf>
    <xf numFmtId="0" fontId="6" fillId="0" borderId="44" xfId="1" applyFont="1" applyBorder="1" applyAlignment="1" applyProtection="1">
      <alignment horizontal="left" vertical="center" wrapText="1"/>
      <protection hidden="1"/>
    </xf>
    <xf numFmtId="0" fontId="6" fillId="0" borderId="45" xfId="1" applyFont="1" applyBorder="1" applyAlignment="1" applyProtection="1">
      <alignment horizontal="left" vertical="center" wrapText="1"/>
      <protection hidden="1"/>
    </xf>
    <xf numFmtId="0" fontId="19" fillId="3" borderId="39" xfId="1" applyFont="1" applyFill="1" applyBorder="1" applyAlignment="1" applyProtection="1">
      <alignment wrapText="1"/>
      <protection hidden="1"/>
    </xf>
    <xf numFmtId="0" fontId="1" fillId="0" borderId="40" xfId="1" applyBorder="1" applyAlignment="1">
      <alignment wrapText="1"/>
    </xf>
    <xf numFmtId="0" fontId="1" fillId="0" borderId="41" xfId="1" applyBorder="1" applyAlignment="1">
      <alignment wrapText="1"/>
    </xf>
    <xf numFmtId="0" fontId="32" fillId="0" borderId="14" xfId="1" applyFont="1" applyBorder="1" applyAlignment="1">
      <alignment horizontal="left" vertical="top" wrapText="1"/>
    </xf>
    <xf numFmtId="0" fontId="32" fillId="0" borderId="15" xfId="1" applyFont="1" applyBorder="1" applyAlignment="1">
      <alignment horizontal="left" vertical="top" wrapText="1"/>
    </xf>
    <xf numFmtId="0" fontId="32" fillId="0" borderId="16" xfId="1" applyFont="1" applyBorder="1" applyAlignment="1">
      <alignment horizontal="left" vertical="top" wrapText="1"/>
    </xf>
    <xf numFmtId="0" fontId="32" fillId="0" borderId="1" xfId="1" applyFont="1" applyBorder="1" applyAlignment="1">
      <alignment vertical="top" wrapText="1"/>
    </xf>
    <xf numFmtId="0" fontId="32" fillId="0" borderId="2" xfId="1" applyFont="1" applyBorder="1" applyAlignment="1">
      <alignment vertical="top" wrapText="1"/>
    </xf>
    <xf numFmtId="0" fontId="32" fillId="0" borderId="3" xfId="1" applyFont="1" applyBorder="1" applyAlignment="1">
      <alignment vertical="top" wrapText="1"/>
    </xf>
    <xf numFmtId="0" fontId="32" fillId="0" borderId="1" xfId="1" applyFont="1" applyBorder="1" applyAlignment="1">
      <alignment horizontal="left" vertical="top" wrapText="1"/>
    </xf>
    <xf numFmtId="0" fontId="32" fillId="0" borderId="2" xfId="1" applyFont="1" applyBorder="1" applyAlignment="1">
      <alignment horizontal="left" vertical="top" wrapText="1"/>
    </xf>
    <xf numFmtId="0" fontId="32" fillId="0" borderId="3" xfId="1" applyFont="1" applyBorder="1" applyAlignment="1">
      <alignment horizontal="left" vertical="top" wrapText="1"/>
    </xf>
    <xf numFmtId="0" fontId="1" fillId="0" borderId="34" xfId="1" applyBorder="1" applyAlignment="1" applyProtection="1">
      <alignment horizontal="center"/>
      <protection hidden="1"/>
    </xf>
    <xf numFmtId="0" fontId="1" fillId="0" borderId="35" xfId="1" applyBorder="1"/>
    <xf numFmtId="0" fontId="21" fillId="0" borderId="34" xfId="1" applyFont="1" applyBorder="1" applyAlignment="1" applyProtection="1">
      <alignment horizontal="center" vertical="center"/>
      <protection hidden="1"/>
    </xf>
    <xf numFmtId="0" fontId="21" fillId="0" borderId="67" xfId="1" applyFont="1" applyBorder="1" applyAlignment="1">
      <alignment horizontal="center" vertical="center"/>
    </xf>
    <xf numFmtId="0" fontId="1" fillId="0" borderId="40" xfId="1" applyBorder="1" applyAlignment="1" applyProtection="1">
      <alignment horizontal="left" vertical="center"/>
      <protection hidden="1"/>
    </xf>
    <xf numFmtId="0" fontId="1" fillId="0" borderId="40" xfId="1" applyBorder="1" applyAlignment="1">
      <alignment horizontal="left" vertical="center"/>
    </xf>
    <xf numFmtId="0" fontId="1" fillId="0" borderId="34" xfId="1" applyBorder="1" applyAlignment="1" applyProtection="1">
      <alignment horizontal="center" wrapText="1"/>
      <protection hidden="1"/>
    </xf>
    <xf numFmtId="0" fontId="1" fillId="0" borderId="41" xfId="1" applyBorder="1" applyAlignment="1" applyProtection="1">
      <alignment horizontal="center" wrapText="1"/>
      <protection hidden="1"/>
    </xf>
    <xf numFmtId="0" fontId="1" fillId="0" borderId="39" xfId="1" applyBorder="1" applyAlignment="1" applyProtection="1">
      <alignment horizontal="center"/>
      <protection hidden="1"/>
    </xf>
    <xf numFmtId="0" fontId="1" fillId="0" borderId="35" xfId="1" applyBorder="1" applyAlignment="1" applyProtection="1">
      <alignment horizontal="center"/>
      <protection hidden="1"/>
    </xf>
    <xf numFmtId="0" fontId="32" fillId="9" borderId="14" xfId="1" applyFont="1" applyFill="1" applyBorder="1" applyAlignment="1">
      <alignment horizontal="left" vertical="center" wrapText="1"/>
    </xf>
    <xf numFmtId="0" fontId="32" fillId="9" borderId="15" xfId="1" applyFont="1" applyFill="1" applyBorder="1" applyAlignment="1">
      <alignment horizontal="left" vertical="center" wrapText="1"/>
    </xf>
    <xf numFmtId="0" fontId="32" fillId="9" borderId="73" xfId="1" applyFont="1" applyFill="1" applyBorder="1" applyAlignment="1">
      <alignment horizontal="left" vertical="center" wrapText="1"/>
    </xf>
    <xf numFmtId="0" fontId="33" fillId="0" borderId="76" xfId="1" applyFont="1" applyBorder="1" applyAlignment="1">
      <alignment horizontal="left" vertical="center" wrapText="1"/>
    </xf>
    <xf numFmtId="0" fontId="33" fillId="0" borderId="77" xfId="1" applyFont="1" applyBorder="1" applyAlignment="1">
      <alignment horizontal="left" vertical="center" wrapText="1"/>
    </xf>
    <xf numFmtId="0" fontId="33" fillId="0" borderId="78" xfId="1" applyFont="1" applyBorder="1" applyAlignment="1">
      <alignment horizontal="left" vertical="center" wrapText="1"/>
    </xf>
    <xf numFmtId="0" fontId="33" fillId="0" borderId="83" xfId="1" applyFont="1" applyBorder="1" applyAlignment="1">
      <alignment horizontal="left" vertical="center" wrapText="1"/>
    </xf>
    <xf numFmtId="0" fontId="33" fillId="0" borderId="84" xfId="1" applyFont="1" applyBorder="1" applyAlignment="1">
      <alignment horizontal="left" vertical="center" wrapText="1"/>
    </xf>
    <xf numFmtId="0" fontId="33" fillId="0" borderId="85" xfId="1" applyFont="1" applyBorder="1" applyAlignment="1">
      <alignment horizontal="left" vertical="center" wrapText="1"/>
    </xf>
    <xf numFmtId="0" fontId="32" fillId="0" borderId="7" xfId="1" applyFont="1" applyBorder="1" applyAlignment="1">
      <alignment vertical="top" wrapText="1"/>
    </xf>
    <xf numFmtId="0" fontId="32" fillId="0" borderId="8" xfId="1" applyFont="1" applyBorder="1" applyAlignment="1">
      <alignment vertical="top" wrapText="1"/>
    </xf>
    <xf numFmtId="0" fontId="32" fillId="0" borderId="6" xfId="1" applyFont="1" applyBorder="1" applyAlignment="1">
      <alignment horizontal="left" vertical="top" wrapText="1"/>
    </xf>
    <xf numFmtId="0" fontId="32" fillId="0" borderId="7" xfId="1" applyFont="1" applyBorder="1" applyAlignment="1">
      <alignment horizontal="left" vertical="top" wrapText="1"/>
    </xf>
    <xf numFmtId="0" fontId="32" fillId="0" borderId="8" xfId="1" applyFont="1" applyBorder="1" applyAlignment="1">
      <alignment horizontal="left" vertical="top" wrapText="1"/>
    </xf>
    <xf numFmtId="0" fontId="32" fillId="0" borderId="7" xfId="1" applyFont="1" applyBorder="1" applyAlignment="1">
      <alignment vertical="center" wrapText="1"/>
    </xf>
    <xf numFmtId="0" fontId="1" fillId="0" borderId="7" xfId="1" applyBorder="1" applyAlignment="1">
      <alignment wrapText="1"/>
    </xf>
    <xf numFmtId="0" fontId="34" fillId="0" borderId="2" xfId="1" applyFont="1" applyBorder="1" applyAlignment="1">
      <alignment horizontal="left" vertical="center" wrapText="1"/>
    </xf>
    <xf numFmtId="0" fontId="34" fillId="0" borderId="3" xfId="1" applyFont="1" applyBorder="1" applyAlignment="1">
      <alignment horizontal="left" vertical="center" wrapText="1"/>
    </xf>
    <xf numFmtId="0" fontId="34" fillId="0" borderId="0" xfId="1" applyFont="1" applyAlignment="1">
      <alignment horizontal="left" vertical="center" wrapText="1"/>
    </xf>
    <xf numFmtId="0" fontId="34" fillId="0" borderId="5" xfId="1" applyFont="1" applyBorder="1" applyAlignment="1">
      <alignment horizontal="left" vertical="center" wrapText="1"/>
    </xf>
    <xf numFmtId="0" fontId="34" fillId="0" borderId="7" xfId="1" applyFont="1" applyBorder="1" applyAlignment="1">
      <alignment horizontal="left" vertical="center" wrapText="1"/>
    </xf>
    <xf numFmtId="0" fontId="34" fillId="0" borderId="8" xfId="1" applyFont="1" applyBorder="1" applyAlignment="1">
      <alignment horizontal="left" vertical="center" wrapText="1"/>
    </xf>
    <xf numFmtId="0" fontId="34" fillId="0" borderId="2" xfId="1" applyFont="1" applyBorder="1" applyAlignment="1">
      <alignment vertical="center" wrapText="1"/>
    </xf>
    <xf numFmtId="0" fontId="34" fillId="0" borderId="3" xfId="1" applyFont="1" applyBorder="1" applyAlignment="1">
      <alignment vertical="center" wrapText="1"/>
    </xf>
    <xf numFmtId="0" fontId="34" fillId="0" borderId="0" xfId="1" applyFont="1" applyAlignment="1">
      <alignment vertical="center" wrapText="1"/>
    </xf>
    <xf numFmtId="0" fontId="34" fillId="0" borderId="5" xfId="1" applyFont="1" applyBorder="1" applyAlignment="1">
      <alignment vertical="center" wrapText="1"/>
    </xf>
    <xf numFmtId="0" fontId="34" fillId="0" borderId="7" xfId="1" applyFont="1" applyBorder="1" applyAlignment="1">
      <alignment vertical="center" wrapText="1"/>
    </xf>
    <xf numFmtId="0" fontId="34" fillId="0" borderId="8" xfId="1" applyFont="1" applyBorder="1" applyAlignment="1">
      <alignment vertical="center" wrapText="1"/>
    </xf>
    <xf numFmtId="0" fontId="35" fillId="0" borderId="2" xfId="1" applyFont="1" applyBorder="1" applyAlignment="1">
      <alignment vertical="center" wrapText="1"/>
    </xf>
    <xf numFmtId="0" fontId="35" fillId="0" borderId="3" xfId="1" applyFont="1" applyBorder="1" applyAlignment="1">
      <alignment vertical="center" wrapText="1"/>
    </xf>
    <xf numFmtId="0" fontId="35" fillId="0" borderId="0" xfId="1" applyFont="1" applyAlignment="1">
      <alignment vertical="center" wrapText="1"/>
    </xf>
    <xf numFmtId="0" fontId="35" fillId="0" borderId="5" xfId="1" applyFont="1" applyBorder="1" applyAlignment="1">
      <alignment vertical="center" wrapText="1"/>
    </xf>
    <xf numFmtId="0" fontId="35" fillId="0" borderId="7" xfId="1" applyFont="1" applyBorder="1" applyAlignment="1">
      <alignment vertical="center" wrapText="1"/>
    </xf>
    <xf numFmtId="0" fontId="35" fillId="0" borderId="8" xfId="1" applyFont="1" applyBorder="1" applyAlignment="1">
      <alignment vertical="center" wrapText="1"/>
    </xf>
    <xf numFmtId="0" fontId="33" fillId="10" borderId="83" xfId="1" applyFont="1" applyFill="1" applyBorder="1" applyAlignment="1">
      <alignment horizontal="left" vertical="top" wrapText="1"/>
    </xf>
    <xf numFmtId="0" fontId="33" fillId="10" borderId="84" xfId="1" applyFont="1" applyFill="1" applyBorder="1" applyAlignment="1">
      <alignment horizontal="left" vertical="top" wrapText="1"/>
    </xf>
    <xf numFmtId="0" fontId="33" fillId="10" borderId="85" xfId="1" applyFont="1" applyFill="1" applyBorder="1" applyAlignment="1">
      <alignment horizontal="left" vertical="top" wrapText="1"/>
    </xf>
    <xf numFmtId="0" fontId="33" fillId="0" borderId="14" xfId="1" applyFont="1" applyBorder="1" applyAlignment="1">
      <alignment horizontal="left" vertical="center" wrapText="1"/>
    </xf>
    <xf numFmtId="0" fontId="33" fillId="0" borderId="15" xfId="1" applyFont="1" applyBorder="1" applyAlignment="1">
      <alignment horizontal="left" vertical="center" wrapText="1"/>
    </xf>
    <xf numFmtId="0" fontId="1" fillId="0" borderId="88" xfId="1" applyBorder="1" applyProtection="1">
      <protection hidden="1"/>
    </xf>
    <xf numFmtId="0" fontId="1" fillId="0" borderId="89" xfId="1" applyBorder="1" applyProtection="1">
      <protection hidden="1"/>
    </xf>
    <xf numFmtId="0" fontId="1" fillId="0" borderId="90" xfId="1" applyBorder="1" applyProtection="1">
      <protection hidden="1"/>
    </xf>
    <xf numFmtId="0" fontId="33" fillId="0" borderId="73" xfId="1" applyFont="1" applyBorder="1" applyAlignment="1">
      <alignment horizontal="left" vertical="center" wrapText="1"/>
    </xf>
    <xf numFmtId="0" fontId="33" fillId="0" borderId="83" xfId="1" applyFont="1" applyBorder="1" applyAlignment="1">
      <alignment horizontal="left" vertical="top" wrapText="1"/>
    </xf>
    <xf numFmtId="0" fontId="33" fillId="0" borderId="84" xfId="1" applyFont="1" applyBorder="1" applyAlignment="1">
      <alignment horizontal="left" vertical="top" wrapText="1"/>
    </xf>
    <xf numFmtId="0" fontId="33" fillId="0" borderId="85" xfId="1" applyFont="1" applyBorder="1" applyAlignment="1">
      <alignment horizontal="left" vertical="top" wrapText="1"/>
    </xf>
    <xf numFmtId="0" fontId="33" fillId="10" borderId="83" xfId="1" applyFont="1" applyFill="1" applyBorder="1" applyAlignment="1">
      <alignment horizontal="left" vertical="center" wrapText="1"/>
    </xf>
    <xf numFmtId="0" fontId="33" fillId="10" borderId="84" xfId="1" applyFont="1" applyFill="1" applyBorder="1" applyAlignment="1">
      <alignment horizontal="left" vertical="center" wrapText="1"/>
    </xf>
    <xf numFmtId="0" fontId="35" fillId="0" borderId="6" xfId="1" applyFont="1" applyBorder="1" applyAlignment="1">
      <alignment horizontal="center" vertical="center" wrapText="1"/>
    </xf>
    <xf numFmtId="0" fontId="35" fillId="0" borderId="7" xfId="1" applyFont="1" applyBorder="1" applyAlignment="1">
      <alignment horizontal="center" vertical="center" wrapText="1"/>
    </xf>
    <xf numFmtId="0" fontId="35" fillId="0" borderId="100" xfId="1" applyFont="1" applyBorder="1" applyAlignment="1">
      <alignment horizontal="center" vertical="center" wrapText="1"/>
    </xf>
    <xf numFmtId="0" fontId="1" fillId="0" borderId="101" xfId="1" applyBorder="1" applyProtection="1">
      <protection hidden="1"/>
    </xf>
    <xf numFmtId="0" fontId="1" fillId="0" borderId="7" xfId="1" applyBorder="1" applyProtection="1">
      <protection hidden="1"/>
    </xf>
    <xf numFmtId="0" fontId="1" fillId="0" borderId="8" xfId="1" applyBorder="1" applyProtection="1">
      <protection hidden="1"/>
    </xf>
    <xf numFmtId="0" fontId="36" fillId="0" borderId="1" xfId="1" applyFont="1" applyBorder="1" applyAlignment="1">
      <alignment wrapText="1"/>
    </xf>
    <xf numFmtId="0" fontId="36" fillId="0" borderId="2" xfId="1" applyFont="1" applyBorder="1"/>
    <xf numFmtId="0" fontId="36" fillId="0" borderId="3" xfId="1" applyFont="1" applyBorder="1"/>
    <xf numFmtId="0" fontId="35" fillId="0" borderId="4" xfId="1" applyFont="1" applyBorder="1" applyAlignment="1">
      <alignment horizontal="center" vertical="center" wrapText="1"/>
    </xf>
    <xf numFmtId="0" fontId="35" fillId="0" borderId="0" xfId="1" applyFont="1" applyAlignment="1">
      <alignment horizontal="center" vertical="center" wrapText="1"/>
    </xf>
    <xf numFmtId="0" fontId="1" fillId="0" borderId="0" xfId="1" applyProtection="1">
      <protection hidden="1"/>
    </xf>
    <xf numFmtId="0" fontId="1" fillId="0" borderId="5" xfId="1" applyBorder="1" applyProtection="1">
      <protection hidden="1"/>
    </xf>
    <xf numFmtId="0" fontId="36" fillId="0" borderId="1" xfId="1" applyFont="1" applyBorder="1"/>
    <xf numFmtId="0" fontId="36" fillId="0" borderId="96" xfId="1" applyFont="1" applyBorder="1"/>
    <xf numFmtId="0" fontId="36" fillId="0" borderId="97" xfId="1" applyFont="1" applyBorder="1"/>
    <xf numFmtId="0" fontId="35" fillId="0" borderId="98" xfId="1" applyFont="1" applyBorder="1" applyAlignment="1">
      <alignment horizontal="center" vertical="center" wrapText="1"/>
    </xf>
    <xf numFmtId="0" fontId="1" fillId="0" borderId="99" xfId="1" applyBorder="1" applyProtection="1">
      <protection hidden="1"/>
    </xf>
    <xf numFmtId="0" fontId="6" fillId="4" borderId="0" xfId="1" applyFont="1" applyFill="1" applyAlignment="1" applyProtection="1">
      <alignment horizontal="center"/>
      <protection hidden="1"/>
    </xf>
    <xf numFmtId="0" fontId="37" fillId="0" borderId="0" xfId="1" applyFont="1" applyAlignment="1" applyProtection="1">
      <alignment horizontal="center"/>
      <protection hidden="1"/>
    </xf>
    <xf numFmtId="0" fontId="11" fillId="0" borderId="4" xfId="1" applyFont="1" applyBorder="1" applyAlignment="1" applyProtection="1">
      <alignment horizontal="left"/>
      <protection hidden="1"/>
    </xf>
    <xf numFmtId="0" fontId="11" fillId="0" borderId="0" xfId="1" applyFont="1" applyAlignment="1" applyProtection="1">
      <alignment horizontal="left"/>
      <protection hidden="1"/>
    </xf>
    <xf numFmtId="0" fontId="11" fillId="0" borderId="5" xfId="1" applyFont="1" applyBorder="1" applyAlignment="1" applyProtection="1">
      <alignment horizontal="left"/>
      <protection hidden="1"/>
    </xf>
    <xf numFmtId="0" fontId="6" fillId="4" borderId="0" xfId="1" applyFont="1" applyFill="1" applyAlignment="1" applyProtection="1">
      <alignment horizontal="left"/>
      <protection hidden="1"/>
    </xf>
  </cellXfs>
  <cellStyles count="2">
    <cellStyle name="Normál" xfId="0" builtinId="0"/>
    <cellStyle name="Normal 3" xfId="1" xr:uid="{B74501F1-0897-45BD-AC5F-B0BF30F85E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115957</xdr:colOff>
      <xdr:row>133</xdr:row>
      <xdr:rowOff>57978</xdr:rowOff>
    </xdr:from>
    <xdr:ext cx="384109" cy="323023"/>
    <xdr:pic>
      <xdr:nvPicPr>
        <xdr:cNvPr id="2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5097" y="24045738"/>
          <a:ext cx="384109" cy="323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57979</xdr:colOff>
      <xdr:row>137</xdr:row>
      <xdr:rowOff>33128</xdr:rowOff>
    </xdr:from>
    <xdr:ext cx="5750070" cy="2671972"/>
    <xdr:pic>
      <xdr:nvPicPr>
        <xdr:cNvPr id="3" name="Picture 4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79" y="24813368"/>
          <a:ext cx="5750070" cy="2671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354490</xdr:colOff>
      <xdr:row>141</xdr:row>
      <xdr:rowOff>6623</xdr:rowOff>
    </xdr:from>
    <xdr:ext cx="979010" cy="2980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41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6336190" y="28078703"/>
              <a:ext cx="979010" cy="2980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fr-CH" sz="11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d>
                        <m:dPr>
                          <m:ctrlPr>
                            <a:rPr lang="fr-CH" sz="110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sSup>
                            <m:sSupPr>
                              <m:ctrlPr>
                                <a:rPr lang="fr-CH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fr-CH" sz="1100" b="0" i="1">
                                  <a:latin typeface="Cambria Math"/>
                                </a:rPr>
                                <m:t>𝐷</m:t>
                              </m:r>
                            </m:e>
                            <m:sup>
                              <m:r>
                                <a:rPr lang="fr-CH" sz="1100" b="0" i="1">
                                  <a:latin typeface="Cambria Math"/>
                                </a:rPr>
                                <m:t>2</m:t>
                              </m:r>
                            </m:sup>
                          </m:sSup>
                          <m:r>
                            <a:rPr lang="fr-CH" sz="1100" b="0" i="1">
                              <a:latin typeface="Cambria Math"/>
                            </a:rPr>
                            <m:t>+</m:t>
                          </m:r>
                          <m:sSup>
                            <m:sSupPr>
                              <m:ctrlPr>
                                <a:rPr lang="fr-CH" sz="11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fr-CH" sz="1100" b="0" i="1">
                                  <a:latin typeface="Cambria Math"/>
                                </a:rPr>
                                <m:t>𝐵</m:t>
                              </m:r>
                            </m:e>
                            <m:sup>
                              <m:r>
                                <a:rPr lang="fr-CH" sz="1100" b="0" i="1">
                                  <a:latin typeface="Cambria Math"/>
                                </a:rPr>
                                <m:t>2</m:t>
                              </m:r>
                            </m:sup>
                          </m:sSup>
                        </m:e>
                      </m:d>
                    </m:e>
                  </m:rad>
                </m:oMath>
              </a14:m>
              <a:r>
                <a:rPr lang="fr-CH" sz="1100"/>
                <a:t>=</a:t>
              </a:r>
            </a:p>
          </xdr:txBody>
        </xdr:sp>
      </mc:Choice>
      <mc:Fallback xmlns="">
        <xdr:sp macro="" textlink="">
          <xdr:nvSpPr>
            <xdr:cNvPr id="4" name="TextBox 41">
              <a:extLst>
                <a:ext uri="{FF2B5EF4-FFF2-40B4-BE49-F238E27FC236}">
                  <a16:creationId xmlns:a16="http://schemas.microsoft.com/office/drawing/2014/main" id="{0E4E76DF-F651-4D13-9F78-B4CEC21766B4}"/>
                </a:ext>
              </a:extLst>
            </xdr:cNvPr>
            <xdr:cNvSpPr txBox="1"/>
          </xdr:nvSpPr>
          <xdr:spPr>
            <a:xfrm>
              <a:off x="6336190" y="28078703"/>
              <a:ext cx="979010" cy="2980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fr-CH" sz="1100" i="0">
                  <a:latin typeface="Cambria Math" panose="02040503050406030204" pitchFamily="18" charset="0"/>
                </a:rPr>
                <a:t>√((</a:t>
              </a:r>
              <a:r>
                <a:rPr lang="fr-CH" sz="1100" b="0" i="0">
                  <a:latin typeface="Cambria Math"/>
                </a:rPr>
                <a:t>𝐷</a:t>
              </a:r>
              <a:r>
                <a:rPr lang="fr-CH" sz="1100" b="0" i="0">
                  <a:latin typeface="Cambria Math" panose="02040503050406030204" pitchFamily="18" charset="0"/>
                </a:rPr>
                <a:t>^</a:t>
              </a:r>
              <a:r>
                <a:rPr lang="fr-CH" sz="1100" b="0" i="0">
                  <a:latin typeface="Cambria Math"/>
                </a:rPr>
                <a:t>2+𝐵</a:t>
              </a:r>
              <a:r>
                <a:rPr lang="fr-CH" sz="1100" b="0" i="0">
                  <a:latin typeface="Cambria Math" panose="02040503050406030204" pitchFamily="18" charset="0"/>
                </a:rPr>
                <a:t>^</a:t>
              </a:r>
              <a:r>
                <a:rPr lang="fr-CH" sz="1100" b="0" i="0">
                  <a:latin typeface="Cambria Math"/>
                </a:rPr>
                <a:t>2</a:t>
              </a:r>
              <a:r>
                <a:rPr lang="fr-CH" sz="1100" b="0" i="0">
                  <a:latin typeface="Cambria Math" panose="02040503050406030204" pitchFamily="18" charset="0"/>
                </a:rPr>
                <a:t> ) )</a:t>
              </a:r>
              <a:r>
                <a:rPr lang="fr-CH" sz="1100"/>
                <a:t>=</a:t>
              </a:r>
            </a:p>
          </xdr:txBody>
        </xdr:sp>
      </mc:Fallback>
    </mc:AlternateContent>
    <xdr:clientData/>
  </xdr:oneCellAnchor>
  <xdr:oneCellAnchor>
    <xdr:from>
      <xdr:col>17</xdr:col>
      <xdr:colOff>371052</xdr:colOff>
      <xdr:row>147</xdr:row>
      <xdr:rowOff>6622</xdr:rowOff>
    </xdr:from>
    <xdr:ext cx="995575" cy="3005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2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6352752" y="29076922"/>
              <a:ext cx="995575" cy="3005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fr-CH" sz="11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d>
                        <m:dPr>
                          <m:ctrlPr>
                            <a:rPr lang="fr-CH" sz="110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sSup>
                            <m:sSupPr>
                              <m:ctrlPr>
                                <a:rPr lang="fr-CH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fr-CH" sz="1100" b="0" i="1">
                                  <a:latin typeface="Cambria Math"/>
                                </a:rPr>
                                <m:t>𝐸</m:t>
                              </m:r>
                            </m:e>
                            <m:sup>
                              <m:r>
                                <a:rPr lang="fr-CH" sz="1100" b="0" i="1">
                                  <a:latin typeface="Cambria Math"/>
                                </a:rPr>
                                <m:t>2</m:t>
                              </m:r>
                            </m:sup>
                          </m:sSup>
                          <m:r>
                            <a:rPr lang="fr-CH" sz="1100" b="0" i="1">
                              <a:latin typeface="Cambria Math"/>
                            </a:rPr>
                            <m:t>+</m:t>
                          </m:r>
                          <m:sSup>
                            <m:sSupPr>
                              <m:ctrlPr>
                                <a:rPr lang="fr-CH" sz="11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fr-CH" sz="1100" b="0" i="1">
                                  <a:latin typeface="Cambria Math"/>
                                </a:rPr>
                                <m:t>𝐴</m:t>
                              </m:r>
                            </m:e>
                            <m:sup>
                              <m:r>
                                <a:rPr lang="fr-CH" sz="1100" b="0" i="1">
                                  <a:latin typeface="Cambria Math"/>
                                </a:rPr>
                                <m:t>2</m:t>
                              </m:r>
                            </m:sup>
                          </m:sSup>
                        </m:e>
                      </m:d>
                    </m:e>
                  </m:rad>
                </m:oMath>
              </a14:m>
              <a:r>
                <a:rPr lang="fr-CH" sz="1100"/>
                <a:t>=</a:t>
              </a:r>
            </a:p>
          </xdr:txBody>
        </xdr:sp>
      </mc:Choice>
      <mc:Fallback xmlns="">
        <xdr:sp macro="" textlink="">
          <xdr:nvSpPr>
            <xdr:cNvPr id="5" name="TextBox 42">
              <a:extLst>
                <a:ext uri="{FF2B5EF4-FFF2-40B4-BE49-F238E27FC236}">
                  <a16:creationId xmlns:a16="http://schemas.microsoft.com/office/drawing/2014/main" id="{A8DFC7AD-1F4F-4035-A1A5-AFA6194956BF}"/>
                </a:ext>
              </a:extLst>
            </xdr:cNvPr>
            <xdr:cNvSpPr txBox="1"/>
          </xdr:nvSpPr>
          <xdr:spPr>
            <a:xfrm>
              <a:off x="6352752" y="29076922"/>
              <a:ext cx="995575" cy="3005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fr-CH" sz="1100" i="0">
                  <a:latin typeface="Cambria Math" panose="02040503050406030204" pitchFamily="18" charset="0"/>
                </a:rPr>
                <a:t>√((</a:t>
              </a:r>
              <a:r>
                <a:rPr lang="fr-CH" sz="1100" b="0" i="0">
                  <a:latin typeface="Cambria Math"/>
                </a:rPr>
                <a:t>𝐸</a:t>
              </a:r>
              <a:r>
                <a:rPr lang="fr-CH" sz="1100" b="0" i="0">
                  <a:latin typeface="Cambria Math" panose="02040503050406030204" pitchFamily="18" charset="0"/>
                </a:rPr>
                <a:t>^</a:t>
              </a:r>
              <a:r>
                <a:rPr lang="fr-CH" sz="1100" b="0" i="0">
                  <a:latin typeface="Cambria Math"/>
                </a:rPr>
                <a:t>2+𝐴</a:t>
              </a:r>
              <a:r>
                <a:rPr lang="fr-CH" sz="1100" b="0" i="0">
                  <a:latin typeface="Cambria Math" panose="02040503050406030204" pitchFamily="18" charset="0"/>
                </a:rPr>
                <a:t>^</a:t>
              </a:r>
              <a:r>
                <a:rPr lang="fr-CH" sz="1100" b="0" i="0">
                  <a:latin typeface="Cambria Math"/>
                </a:rPr>
                <a:t>2</a:t>
              </a:r>
              <a:r>
                <a:rPr lang="fr-CH" sz="1100" b="0" i="0">
                  <a:latin typeface="Cambria Math" panose="02040503050406030204" pitchFamily="18" charset="0"/>
                </a:rPr>
                <a:t> ) )</a:t>
              </a:r>
              <a:r>
                <a:rPr lang="fr-CH" sz="1100"/>
                <a:t>=</a:t>
              </a:r>
            </a:p>
          </xdr:txBody>
        </xdr:sp>
      </mc:Fallback>
    </mc:AlternateContent>
    <xdr:clientData/>
  </xdr:oneCellAnchor>
  <xdr:oneCellAnchor>
    <xdr:from>
      <xdr:col>0</xdr:col>
      <xdr:colOff>57979</xdr:colOff>
      <xdr:row>137</xdr:row>
      <xdr:rowOff>33127</xdr:rowOff>
    </xdr:from>
    <xdr:ext cx="7144653" cy="2769705"/>
    <xdr:pic>
      <xdr:nvPicPr>
        <xdr:cNvPr id="6" name="Pictur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79" y="24813367"/>
          <a:ext cx="7144653" cy="27697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17</xdr:col>
      <xdr:colOff>354490</xdr:colOff>
      <xdr:row>141</xdr:row>
      <xdr:rowOff>6623</xdr:rowOff>
    </xdr:from>
    <xdr:ext cx="979010" cy="29803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5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6336190" y="28078703"/>
              <a:ext cx="979010" cy="2980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fr-CH" sz="11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d>
                        <m:dPr>
                          <m:ctrlPr>
                            <a:rPr lang="fr-CH" sz="110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sSup>
                            <m:sSupPr>
                              <m:ctrlPr>
                                <a:rPr lang="fr-CH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fr-CH" sz="1100" b="0" i="1">
                                  <a:latin typeface="Cambria Math"/>
                                </a:rPr>
                                <m:t>𝐷</m:t>
                              </m:r>
                            </m:e>
                            <m:sup>
                              <m:r>
                                <a:rPr lang="fr-CH" sz="1100" b="0" i="1">
                                  <a:latin typeface="Cambria Math"/>
                                </a:rPr>
                                <m:t>2</m:t>
                              </m:r>
                            </m:sup>
                          </m:sSup>
                          <m:r>
                            <a:rPr lang="fr-CH" sz="1100" b="0" i="1">
                              <a:latin typeface="Cambria Math"/>
                            </a:rPr>
                            <m:t>+</m:t>
                          </m:r>
                          <m:sSup>
                            <m:sSupPr>
                              <m:ctrlPr>
                                <a:rPr lang="fr-CH" sz="11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fr-CH" sz="1100" b="0" i="1">
                                  <a:latin typeface="Cambria Math"/>
                                </a:rPr>
                                <m:t>𝐵</m:t>
                              </m:r>
                            </m:e>
                            <m:sup>
                              <m:r>
                                <a:rPr lang="fr-CH" sz="1100" b="0" i="1">
                                  <a:latin typeface="Cambria Math"/>
                                </a:rPr>
                                <m:t>2</m:t>
                              </m:r>
                            </m:sup>
                          </m:sSup>
                        </m:e>
                      </m:d>
                    </m:e>
                  </m:rad>
                </m:oMath>
              </a14:m>
              <a:r>
                <a:rPr lang="fr-CH" sz="1100"/>
                <a:t>=</a:t>
              </a:r>
            </a:p>
          </xdr:txBody>
        </xdr:sp>
      </mc:Choice>
      <mc:Fallback xmlns="">
        <xdr:sp macro="" textlink="">
          <xdr:nvSpPr>
            <xdr:cNvPr id="7" name="TextBox 5">
              <a:extLst>
                <a:ext uri="{FF2B5EF4-FFF2-40B4-BE49-F238E27FC236}">
                  <a16:creationId xmlns:a16="http://schemas.microsoft.com/office/drawing/2014/main" id="{565FF0C8-2728-49A3-A837-72A3039DD1E5}"/>
                </a:ext>
              </a:extLst>
            </xdr:cNvPr>
            <xdr:cNvSpPr txBox="1"/>
          </xdr:nvSpPr>
          <xdr:spPr>
            <a:xfrm>
              <a:off x="6336190" y="28078703"/>
              <a:ext cx="979010" cy="29803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fr-CH" sz="1100" i="0">
                  <a:latin typeface="Cambria Math" panose="02040503050406030204" pitchFamily="18" charset="0"/>
                </a:rPr>
                <a:t>√((</a:t>
              </a:r>
              <a:r>
                <a:rPr lang="fr-CH" sz="1100" b="0" i="0">
                  <a:latin typeface="Cambria Math"/>
                </a:rPr>
                <a:t>𝐷</a:t>
              </a:r>
              <a:r>
                <a:rPr lang="fr-CH" sz="1100" b="0" i="0">
                  <a:latin typeface="Cambria Math" panose="02040503050406030204" pitchFamily="18" charset="0"/>
                </a:rPr>
                <a:t>^</a:t>
              </a:r>
              <a:r>
                <a:rPr lang="fr-CH" sz="1100" b="0" i="0">
                  <a:latin typeface="Cambria Math"/>
                </a:rPr>
                <a:t>2+𝐵</a:t>
              </a:r>
              <a:r>
                <a:rPr lang="fr-CH" sz="1100" b="0" i="0">
                  <a:latin typeface="Cambria Math" panose="02040503050406030204" pitchFamily="18" charset="0"/>
                </a:rPr>
                <a:t>^</a:t>
              </a:r>
              <a:r>
                <a:rPr lang="fr-CH" sz="1100" b="0" i="0">
                  <a:latin typeface="Cambria Math"/>
                </a:rPr>
                <a:t>2</a:t>
              </a:r>
              <a:r>
                <a:rPr lang="fr-CH" sz="1100" b="0" i="0">
                  <a:latin typeface="Cambria Math" panose="02040503050406030204" pitchFamily="18" charset="0"/>
                </a:rPr>
                <a:t> ) )</a:t>
              </a:r>
              <a:r>
                <a:rPr lang="fr-CH" sz="1100"/>
                <a:t>=</a:t>
              </a:r>
            </a:p>
          </xdr:txBody>
        </xdr:sp>
      </mc:Fallback>
    </mc:AlternateContent>
    <xdr:clientData/>
  </xdr:oneCellAnchor>
  <xdr:oneCellAnchor>
    <xdr:from>
      <xdr:col>17</xdr:col>
      <xdr:colOff>371052</xdr:colOff>
      <xdr:row>147</xdr:row>
      <xdr:rowOff>6622</xdr:rowOff>
    </xdr:from>
    <xdr:ext cx="995575" cy="3005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6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 txBox="1"/>
          </xdr:nvSpPr>
          <xdr:spPr>
            <a:xfrm>
              <a:off x="6352752" y="29076922"/>
              <a:ext cx="995575" cy="3005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14:m>
                <m:oMath xmlns:m="http://schemas.openxmlformats.org/officeDocument/2006/math">
                  <m:rad>
                    <m:radPr>
                      <m:degHide m:val="on"/>
                      <m:ctrlPr>
                        <a:rPr lang="fr-CH" sz="1100" i="1">
                          <a:latin typeface="Cambria Math" panose="02040503050406030204" pitchFamily="18" charset="0"/>
                        </a:rPr>
                      </m:ctrlPr>
                    </m:radPr>
                    <m:deg/>
                    <m:e>
                      <m:d>
                        <m:dPr>
                          <m:ctrlPr>
                            <a:rPr lang="fr-CH" sz="1100" i="1">
                              <a:latin typeface="Cambria Math" panose="02040503050406030204" pitchFamily="18" charset="0"/>
                            </a:rPr>
                          </m:ctrlPr>
                        </m:dPr>
                        <m:e>
                          <m:sSup>
                            <m:sSupPr>
                              <m:ctrlPr>
                                <a:rPr lang="fr-CH" sz="110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fr-CH" sz="1100" b="0" i="1">
                                  <a:latin typeface="Cambria Math"/>
                                </a:rPr>
                                <m:t>𝐸</m:t>
                              </m:r>
                            </m:e>
                            <m:sup>
                              <m:r>
                                <a:rPr lang="fr-CH" sz="1100" b="0" i="1">
                                  <a:latin typeface="Cambria Math"/>
                                </a:rPr>
                                <m:t>2</m:t>
                              </m:r>
                            </m:sup>
                          </m:sSup>
                          <m:r>
                            <a:rPr lang="fr-CH" sz="1100" b="0" i="1">
                              <a:latin typeface="Cambria Math"/>
                            </a:rPr>
                            <m:t>+</m:t>
                          </m:r>
                          <m:sSup>
                            <m:sSupPr>
                              <m:ctrlPr>
                                <a:rPr lang="fr-CH" sz="1100" b="0" i="1">
                                  <a:latin typeface="Cambria Math" panose="02040503050406030204" pitchFamily="18" charset="0"/>
                                </a:rPr>
                              </m:ctrlPr>
                            </m:sSupPr>
                            <m:e>
                              <m:r>
                                <a:rPr lang="fr-CH" sz="1100" b="0" i="1">
                                  <a:latin typeface="Cambria Math"/>
                                </a:rPr>
                                <m:t>𝐴</m:t>
                              </m:r>
                            </m:e>
                            <m:sup>
                              <m:r>
                                <a:rPr lang="fr-CH" sz="1100" b="0" i="1">
                                  <a:latin typeface="Cambria Math"/>
                                </a:rPr>
                                <m:t>2</m:t>
                              </m:r>
                            </m:sup>
                          </m:sSup>
                        </m:e>
                      </m:d>
                    </m:e>
                  </m:rad>
                </m:oMath>
              </a14:m>
              <a:r>
                <a:rPr lang="fr-CH" sz="1100"/>
                <a:t>=</a:t>
              </a:r>
            </a:p>
          </xdr:txBody>
        </xdr:sp>
      </mc:Choice>
      <mc:Fallback xmlns="">
        <xdr:sp macro="" textlink="">
          <xdr:nvSpPr>
            <xdr:cNvPr id="8" name="TextBox 6">
              <a:extLst>
                <a:ext uri="{FF2B5EF4-FFF2-40B4-BE49-F238E27FC236}">
                  <a16:creationId xmlns:a16="http://schemas.microsoft.com/office/drawing/2014/main" id="{F099DBAD-EA2B-4866-A0D9-051F8AF2E3FD}"/>
                </a:ext>
              </a:extLst>
            </xdr:cNvPr>
            <xdr:cNvSpPr txBox="1"/>
          </xdr:nvSpPr>
          <xdr:spPr>
            <a:xfrm>
              <a:off x="6352752" y="29076922"/>
              <a:ext cx="995575" cy="3005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r>
                <a:rPr lang="fr-CH" sz="1100" i="0">
                  <a:latin typeface="Cambria Math" panose="02040503050406030204" pitchFamily="18" charset="0"/>
                </a:rPr>
                <a:t>√((</a:t>
              </a:r>
              <a:r>
                <a:rPr lang="fr-CH" sz="1100" b="0" i="0">
                  <a:latin typeface="Cambria Math"/>
                </a:rPr>
                <a:t>𝐸</a:t>
              </a:r>
              <a:r>
                <a:rPr lang="fr-CH" sz="1100" b="0" i="0">
                  <a:latin typeface="Cambria Math" panose="02040503050406030204" pitchFamily="18" charset="0"/>
                </a:rPr>
                <a:t>^</a:t>
              </a:r>
              <a:r>
                <a:rPr lang="fr-CH" sz="1100" b="0" i="0">
                  <a:latin typeface="Cambria Math"/>
                </a:rPr>
                <a:t>2+𝐴</a:t>
              </a:r>
              <a:r>
                <a:rPr lang="fr-CH" sz="1100" b="0" i="0">
                  <a:latin typeface="Cambria Math" panose="02040503050406030204" pitchFamily="18" charset="0"/>
                </a:rPr>
                <a:t>^</a:t>
              </a:r>
              <a:r>
                <a:rPr lang="fr-CH" sz="1100" b="0" i="0">
                  <a:latin typeface="Cambria Math"/>
                </a:rPr>
                <a:t>2</a:t>
              </a:r>
              <a:r>
                <a:rPr lang="fr-CH" sz="1100" b="0" i="0">
                  <a:latin typeface="Cambria Math" panose="02040503050406030204" pitchFamily="18" charset="0"/>
                </a:rPr>
                <a:t> ) )</a:t>
              </a:r>
              <a:r>
                <a:rPr lang="fr-CH" sz="1100"/>
                <a:t>=</a:t>
              </a:r>
            </a:p>
          </xdr:txBody>
        </xdr:sp>
      </mc:Fallback>
    </mc:AlternateContent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245</xdr:row>
          <xdr:rowOff>304800</xdr:rowOff>
        </xdr:from>
        <xdr:to>
          <xdr:col>2</xdr:col>
          <xdr:colOff>68580</xdr:colOff>
          <xdr:row>247</xdr:row>
          <xdr:rowOff>167640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245</xdr:row>
          <xdr:rowOff>289560</xdr:rowOff>
        </xdr:from>
        <xdr:to>
          <xdr:col>6</xdr:col>
          <xdr:colOff>175260</xdr:colOff>
          <xdr:row>248</xdr:row>
          <xdr:rowOff>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99060</xdr:colOff>
          <xdr:row>245</xdr:row>
          <xdr:rowOff>312420</xdr:rowOff>
        </xdr:from>
        <xdr:to>
          <xdr:col>10</xdr:col>
          <xdr:colOff>312420</xdr:colOff>
          <xdr:row>247</xdr:row>
          <xdr:rowOff>137160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83820</xdr:colOff>
          <xdr:row>245</xdr:row>
          <xdr:rowOff>304800</xdr:rowOff>
        </xdr:from>
        <xdr:to>
          <xdr:col>18</xdr:col>
          <xdr:colOff>266700</xdr:colOff>
          <xdr:row>247</xdr:row>
          <xdr:rowOff>167640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300403</xdr:colOff>
      <xdr:row>253</xdr:row>
      <xdr:rowOff>21981</xdr:rowOff>
    </xdr:from>
    <xdr:to>
      <xdr:col>6</xdr:col>
      <xdr:colOff>433753</xdr:colOff>
      <xdr:row>253</xdr:row>
      <xdr:rowOff>145806</xdr:rowOff>
    </xdr:to>
    <xdr:pic>
      <xdr:nvPicPr>
        <xdr:cNvPr id="13" name="Picture 1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9203" y="54825021"/>
          <a:ext cx="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322382</xdr:colOff>
      <xdr:row>268</xdr:row>
      <xdr:rowOff>0</xdr:rowOff>
    </xdr:from>
    <xdr:to>
      <xdr:col>6</xdr:col>
      <xdr:colOff>455732</xdr:colOff>
      <xdr:row>268</xdr:row>
      <xdr:rowOff>123825</xdr:rowOff>
    </xdr:to>
    <xdr:pic>
      <xdr:nvPicPr>
        <xdr:cNvPr id="14" name="Picture 1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322" y="58346340"/>
          <a:ext cx="0" cy="123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261984</xdr:colOff>
      <xdr:row>276</xdr:row>
      <xdr:rowOff>4584</xdr:rowOff>
    </xdr:from>
    <xdr:to>
      <xdr:col>13</xdr:col>
      <xdr:colOff>326510</xdr:colOff>
      <xdr:row>276</xdr:row>
      <xdr:rowOff>87312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6824" y="60057804"/>
          <a:ext cx="64526" cy="827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23132</xdr:colOff>
      <xdr:row>243</xdr:row>
      <xdr:rowOff>35380</xdr:rowOff>
    </xdr:from>
    <xdr:ext cx="381388" cy="309236"/>
    <xdr:pic>
      <xdr:nvPicPr>
        <xdr:cNvPr id="16" name="Picture 3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32" y="52300960"/>
          <a:ext cx="381388" cy="309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76200</xdr:colOff>
          <xdr:row>245</xdr:row>
          <xdr:rowOff>274320</xdr:rowOff>
        </xdr:from>
        <xdr:to>
          <xdr:col>15</xdr:col>
          <xdr:colOff>45720</xdr:colOff>
          <xdr:row>248</xdr:row>
          <xdr:rowOff>53340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0</xdr:col>
          <xdr:colOff>57150</xdr:colOff>
          <xdr:row>166</xdr:row>
          <xdr:rowOff>66676</xdr:rowOff>
        </xdr:from>
        <xdr:ext cx="6652260" cy="2842260"/>
        <xdr:pic>
          <xdr:nvPicPr>
            <xdr:cNvPr id="18" name="Picture 17">
              <a:extLst>
                <a:ext uri="{FF2B5EF4-FFF2-40B4-BE49-F238E27FC236}">
                  <a16:creationId xmlns:a16="http://schemas.microsoft.com/office/drawing/2014/main" id="{00000000-0008-0000-0000-000012000000}"/>
                </a:ext>
              </a:extLst>
            </xdr:cNvPr>
            <xdr:cNvPicPr preferRelativeResize="0">
              <a:picLocks noChangeArrowheads="1"/>
              <a:extLst>
                <a:ext uri="{84589F7E-364E-4C9E-8A38-B11213B215E9}">
                  <a14:cameraTool cellRange="ImageEN8120D" spid="_x0000_s2059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57150" y="32817436"/>
              <a:ext cx="6652260" cy="2842260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  <xdr:clientData/>
      </xdr:one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WA/F07-440FN-f-d-i_FINAL_CONTROL_FOR_LIFT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duction_données"/>
      <sheetName val="Page de garde"/>
      <sheetName val="LOGO"/>
      <sheetName val="EN 81-20 Français"/>
      <sheetName val="EN 81-20 Allemand"/>
      <sheetName val="EN 81-20 Italien"/>
      <sheetName val="3.1 F"/>
      <sheetName val="3.2 F"/>
      <sheetName val="El. sec. F"/>
      <sheetName val="El. sec. 2 F"/>
      <sheetName val="3.1 A"/>
      <sheetName val="3.2 A"/>
      <sheetName val="El. sec. A"/>
      <sheetName val="El. sec. 2 A"/>
      <sheetName val="3.1 I"/>
      <sheetName val="3.2 I"/>
      <sheetName val="El. sec. I"/>
      <sheetName val="El. sec. 2 I"/>
      <sheetName val="CodPos"/>
      <sheetName val="Usines"/>
    </sheetNames>
    <sheetDataSet>
      <sheetData sheetId="0">
        <row r="8">
          <cell r="G8" t="str">
            <v>Jérome Sottaz, OTIS Fribourg</v>
          </cell>
        </row>
        <row r="16">
          <cell r="G16" t="str">
            <v>M. Natali, OTIS TI</v>
          </cell>
        </row>
        <row r="26">
          <cell r="G26" t="str">
            <v>Gien</v>
          </cell>
        </row>
        <row r="173">
          <cell r="G173">
            <v>1</v>
          </cell>
        </row>
      </sheetData>
      <sheetData sheetId="1"/>
      <sheetData sheetId="2"/>
      <sheetData sheetId="3"/>
      <sheetData sheetId="4">
        <row r="167">
          <cell r="Y167">
            <v>1</v>
          </cell>
          <cell r="AA167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3291-1160-4CCF-AFF8-7F57EB833116}">
  <dimension ref="A1:U291"/>
  <sheetViews>
    <sheetView tabSelected="1" topLeftCell="A52" workbookViewId="0">
      <selection activeCell="AF83" sqref="AF83"/>
    </sheetView>
  </sheetViews>
  <sheetFormatPr defaultRowHeight="14.4" x14ac:dyDescent="0.3"/>
  <cols>
    <col min="1" max="1" width="2.109375" style="250" customWidth="1"/>
    <col min="2" max="2" width="2" style="250" customWidth="1"/>
    <col min="3" max="3" width="2.33203125" style="250" customWidth="1"/>
    <col min="4" max="4" width="4.33203125" style="250" customWidth="1"/>
    <col min="5" max="5" width="8.6640625" style="250" customWidth="1"/>
    <col min="6" max="6" width="8.5546875" style="250" customWidth="1"/>
    <col min="7" max="7" width="3" style="250" customWidth="1"/>
    <col min="8" max="8" width="4.5546875" style="250" customWidth="1"/>
    <col min="9" max="9" width="4.33203125" style="250" customWidth="1"/>
    <col min="10" max="10" width="5.6640625" style="250" customWidth="1"/>
    <col min="11" max="11" width="6.6640625" style="250" customWidth="1"/>
    <col min="12" max="12" width="6.88671875" style="250" customWidth="1"/>
    <col min="13" max="13" width="5.5546875" style="250" customWidth="1"/>
    <col min="14" max="14" width="5.33203125" style="250" customWidth="1"/>
    <col min="15" max="15" width="4.5546875" style="250" customWidth="1"/>
    <col min="16" max="21" width="6.33203125" style="250" customWidth="1"/>
  </cols>
  <sheetData>
    <row r="1" spans="1:21" ht="28.2" x14ac:dyDescent="0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5"/>
      <c r="R1" s="5"/>
      <c r="S1" s="6"/>
      <c r="T1" s="6"/>
      <c r="U1" s="7"/>
    </row>
    <row r="2" spans="1:21" ht="28.2" x14ac:dyDescent="0.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  <c r="Q2" s="11" t="s">
        <v>1</v>
      </c>
      <c r="U2" s="251"/>
    </row>
    <row r="3" spans="1:21" x14ac:dyDescent="0.3">
      <c r="A3" s="12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10"/>
      <c r="P3" s="13"/>
      <c r="Q3" s="14"/>
      <c r="R3" s="14"/>
      <c r="U3" s="251"/>
    </row>
    <row r="4" spans="1:21" ht="17.399999999999999" x14ac:dyDescent="0.3">
      <c r="A4" s="15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10"/>
      <c r="Q4" s="16"/>
      <c r="U4" s="251"/>
    </row>
    <row r="5" spans="1:21" x14ac:dyDescent="0.3">
      <c r="A5" s="17" t="s">
        <v>3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9"/>
      <c r="P5" s="20"/>
      <c r="Q5" s="252"/>
      <c r="R5" s="252"/>
      <c r="S5" s="252"/>
      <c r="T5" s="252"/>
      <c r="U5" s="253"/>
    </row>
    <row r="6" spans="1:21" x14ac:dyDescent="0.3">
      <c r="A6" s="21"/>
      <c r="U6" s="251"/>
    </row>
    <row r="7" spans="1:21" x14ac:dyDescent="0.3">
      <c r="A7" s="22" t="s">
        <v>4</v>
      </c>
      <c r="B7" s="23"/>
      <c r="C7" s="23"/>
      <c r="D7" s="23"/>
      <c r="E7" s="23" t="str">
        <f>[1]Introduction_données!G16</f>
        <v>M. Natali, OTIS TI</v>
      </c>
      <c r="F7" s="23"/>
      <c r="G7" s="23"/>
      <c r="H7" s="23"/>
      <c r="I7" s="23"/>
      <c r="J7" s="24"/>
      <c r="L7" s="250" t="s">
        <v>5</v>
      </c>
      <c r="N7" s="503"/>
      <c r="O7" s="503"/>
      <c r="U7" s="251"/>
    </row>
    <row r="8" spans="1:21" x14ac:dyDescent="0.3">
      <c r="A8" s="26" t="s">
        <v>6</v>
      </c>
      <c r="B8" s="27"/>
      <c r="C8" s="27"/>
      <c r="D8" s="27"/>
      <c r="E8" s="27" t="str">
        <f>[1]Introduction_données!G8</f>
        <v>Jérome Sottaz, OTIS Fribourg</v>
      </c>
      <c r="F8" s="27"/>
      <c r="G8" s="27"/>
      <c r="H8" s="27"/>
      <c r="I8" s="27"/>
      <c r="J8" s="28"/>
      <c r="N8" s="503"/>
      <c r="O8" s="503"/>
      <c r="P8" s="503"/>
      <c r="U8" s="251"/>
    </row>
    <row r="9" spans="1:21" x14ac:dyDescent="0.3">
      <c r="A9" s="29"/>
      <c r="J9" s="251"/>
      <c r="N9" s="503"/>
      <c r="O9" s="503"/>
      <c r="P9" s="503"/>
      <c r="Q9" s="503"/>
      <c r="U9" s="251"/>
    </row>
    <row r="10" spans="1:21" ht="17.399999999999999" x14ac:dyDescent="0.3">
      <c r="A10" s="29" t="s">
        <v>7</v>
      </c>
      <c r="E10" s="269"/>
      <c r="F10" s="269"/>
      <c r="G10" s="269"/>
      <c r="J10" s="251"/>
      <c r="N10" s="254"/>
      <c r="U10" s="251"/>
    </row>
    <row r="11" spans="1:21" ht="15" thickBot="1" x14ac:dyDescent="0.35">
      <c r="A11" s="20"/>
      <c r="B11" s="252"/>
      <c r="C11" s="252"/>
      <c r="D11" s="252"/>
      <c r="E11" s="252"/>
      <c r="F11" s="252"/>
      <c r="G11" s="252"/>
      <c r="H11" s="252"/>
      <c r="I11" s="252"/>
      <c r="J11" s="253"/>
      <c r="U11" s="251"/>
    </row>
    <row r="12" spans="1:21" x14ac:dyDescent="0.3">
      <c r="A12" s="270" t="s">
        <v>8</v>
      </c>
      <c r="B12" s="260"/>
      <c r="C12" s="261"/>
      <c r="D12" s="271" t="s">
        <v>9</v>
      </c>
      <c r="E12" s="272"/>
      <c r="F12" s="272"/>
      <c r="G12" s="272"/>
      <c r="H12" s="273"/>
      <c r="I12" s="270" t="s">
        <v>10</v>
      </c>
      <c r="J12" s="261"/>
      <c r="K12" s="270" t="s">
        <v>11</v>
      </c>
      <c r="L12" s="260"/>
      <c r="M12" s="261"/>
      <c r="N12" s="270" t="s">
        <v>12</v>
      </c>
      <c r="O12" s="261"/>
      <c r="P12" s="260" t="s">
        <v>13</v>
      </c>
      <c r="Q12" s="260"/>
      <c r="R12" s="261"/>
      <c r="S12" s="30"/>
      <c r="T12" s="30" t="s">
        <v>14</v>
      </c>
      <c r="U12" s="31"/>
    </row>
    <row r="13" spans="1:21" x14ac:dyDescent="0.3">
      <c r="A13" s="262" t="s">
        <v>15</v>
      </c>
      <c r="B13" s="263"/>
      <c r="C13" s="264"/>
      <c r="D13" s="265"/>
      <c r="E13" s="266"/>
      <c r="F13" s="266"/>
      <c r="G13" s="266"/>
      <c r="H13" s="267"/>
      <c r="I13" s="29" t="s">
        <v>16</v>
      </c>
      <c r="J13" s="251"/>
      <c r="K13" s="268"/>
      <c r="L13" s="263"/>
      <c r="M13" s="264"/>
      <c r="N13" s="268" t="s">
        <v>17</v>
      </c>
      <c r="O13" s="264"/>
      <c r="P13" s="268"/>
      <c r="Q13" s="263"/>
      <c r="R13" s="264"/>
      <c r="S13" s="268"/>
      <c r="T13" s="263"/>
      <c r="U13" s="264"/>
    </row>
    <row r="14" spans="1:21" x14ac:dyDescent="0.3">
      <c r="A14" s="283" t="s">
        <v>18</v>
      </c>
      <c r="B14" s="284"/>
      <c r="C14" s="285"/>
      <c r="D14" s="265"/>
      <c r="E14" s="266"/>
      <c r="F14" s="266"/>
      <c r="G14" s="266"/>
      <c r="H14" s="267"/>
      <c r="I14" s="268"/>
      <c r="J14" s="264"/>
      <c r="K14" s="268"/>
      <c r="L14" s="263"/>
      <c r="M14" s="264"/>
      <c r="N14" s="268"/>
      <c r="O14" s="264"/>
      <c r="P14" s="268"/>
      <c r="Q14" s="263"/>
      <c r="R14" s="264"/>
      <c r="S14" s="268"/>
      <c r="T14" s="263"/>
      <c r="U14" s="264"/>
    </row>
    <row r="15" spans="1:21" x14ac:dyDescent="0.3">
      <c r="A15" s="274" t="s">
        <v>19</v>
      </c>
      <c r="B15" s="275"/>
      <c r="C15" s="276"/>
      <c r="D15" s="277"/>
      <c r="E15" s="278"/>
      <c r="F15" s="278"/>
      <c r="G15" s="278"/>
      <c r="H15" s="279"/>
      <c r="I15" s="250" t="s">
        <v>20</v>
      </c>
      <c r="K15" s="280"/>
      <c r="L15" s="281"/>
      <c r="M15" s="282"/>
      <c r="N15" s="280"/>
      <c r="O15" s="282"/>
      <c r="P15" s="280"/>
      <c r="Q15" s="281"/>
      <c r="R15" s="282"/>
      <c r="S15" s="280" t="s">
        <v>21</v>
      </c>
      <c r="T15" s="281"/>
      <c r="U15" s="282"/>
    </row>
    <row r="16" spans="1:21" x14ac:dyDescent="0.3">
      <c r="A16" s="286"/>
      <c r="B16" s="286"/>
      <c r="C16" s="286"/>
      <c r="D16" s="287"/>
      <c r="E16" s="287"/>
      <c r="F16" s="287"/>
      <c r="G16" s="287"/>
      <c r="H16" s="287"/>
      <c r="I16" s="33"/>
      <c r="J16" s="33"/>
      <c r="K16" s="288"/>
      <c r="L16" s="288"/>
      <c r="M16" s="288"/>
      <c r="N16" s="288"/>
      <c r="O16" s="288"/>
      <c r="P16" s="288"/>
      <c r="Q16" s="288"/>
      <c r="R16" s="288"/>
      <c r="S16" s="288"/>
      <c r="T16" s="288"/>
      <c r="U16" s="288"/>
    </row>
    <row r="17" spans="1:21" x14ac:dyDescent="0.3">
      <c r="A17" s="286"/>
      <c r="B17" s="286"/>
      <c r="C17" s="286"/>
      <c r="D17" s="287"/>
      <c r="E17" s="287"/>
      <c r="F17" s="287"/>
      <c r="G17" s="287"/>
      <c r="H17" s="287"/>
      <c r="I17" s="33"/>
      <c r="J17" s="33"/>
      <c r="K17" s="288"/>
      <c r="L17" s="288"/>
      <c r="M17" s="288"/>
      <c r="N17" s="288"/>
      <c r="O17" s="288"/>
      <c r="P17" s="288"/>
      <c r="Q17" s="288"/>
      <c r="R17" s="288"/>
      <c r="S17" s="288"/>
      <c r="T17" s="288"/>
      <c r="U17" s="288"/>
    </row>
    <row r="18" spans="1:21" x14ac:dyDescent="0.3">
      <c r="A18" s="286"/>
      <c r="B18" s="286"/>
      <c r="C18" s="286"/>
      <c r="D18" s="287"/>
      <c r="E18" s="287"/>
      <c r="F18" s="287"/>
      <c r="G18" s="287"/>
      <c r="H18" s="287"/>
      <c r="I18" s="33"/>
      <c r="J18" s="33"/>
      <c r="K18" s="288"/>
      <c r="L18" s="288"/>
      <c r="M18" s="288"/>
      <c r="N18" s="288"/>
      <c r="O18" s="288"/>
      <c r="P18" s="288"/>
      <c r="Q18" s="288"/>
      <c r="R18" s="288"/>
      <c r="S18" s="288"/>
      <c r="T18" s="288"/>
      <c r="U18" s="288"/>
    </row>
    <row r="19" spans="1:21" x14ac:dyDescent="0.3">
      <c r="A19" s="286"/>
      <c r="B19" s="286"/>
      <c r="C19" s="286"/>
      <c r="D19" s="287"/>
      <c r="E19" s="287"/>
      <c r="F19" s="287"/>
      <c r="G19" s="287"/>
      <c r="H19" s="287"/>
      <c r="I19" s="33"/>
      <c r="J19" s="33"/>
      <c r="K19" s="288"/>
      <c r="L19" s="288"/>
      <c r="M19" s="288"/>
      <c r="N19" s="288"/>
      <c r="O19" s="288"/>
      <c r="P19" s="288"/>
      <c r="Q19" s="288"/>
      <c r="R19" s="288"/>
      <c r="S19" s="288"/>
      <c r="T19" s="288"/>
      <c r="U19" s="288"/>
    </row>
    <row r="20" spans="1:21" ht="15" thickBot="1" x14ac:dyDescent="0.35">
      <c r="A20" s="292"/>
      <c r="B20" s="292"/>
      <c r="C20" s="292"/>
      <c r="D20" s="293"/>
      <c r="E20" s="293"/>
      <c r="F20" s="293"/>
      <c r="G20" s="293"/>
      <c r="H20" s="293"/>
      <c r="I20" s="34"/>
      <c r="J20" s="3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</row>
    <row r="21" spans="1:21" x14ac:dyDescent="0.3">
      <c r="A21" s="29" t="s">
        <v>22</v>
      </c>
      <c r="D21" s="35"/>
      <c r="F21" s="35"/>
      <c r="U21" s="251"/>
    </row>
    <row r="22" spans="1:21" ht="15.6" x14ac:dyDescent="0.3">
      <c r="A22" s="36"/>
      <c r="D22" s="35"/>
      <c r="F22" s="35"/>
      <c r="L22" s="250" t="s">
        <v>74</v>
      </c>
      <c r="U22" s="251"/>
    </row>
    <row r="23" spans="1:21" ht="15.6" x14ac:dyDescent="0.3">
      <c r="A23" s="36" t="s">
        <v>23</v>
      </c>
      <c r="D23" s="35"/>
      <c r="F23" s="35"/>
      <c r="U23" s="251"/>
    </row>
    <row r="24" spans="1:21" ht="15.6" x14ac:dyDescent="0.3">
      <c r="A24" s="36" t="s">
        <v>24</v>
      </c>
      <c r="D24" s="35"/>
      <c r="F24" s="35"/>
      <c r="U24" s="251"/>
    </row>
    <row r="25" spans="1:21" ht="15.6" x14ac:dyDescent="0.3">
      <c r="A25" s="36"/>
      <c r="D25" s="35"/>
      <c r="F25" s="35"/>
      <c r="U25" s="251"/>
    </row>
    <row r="26" spans="1:21" ht="15.6" x14ac:dyDescent="0.3">
      <c r="A26" s="36" t="s">
        <v>25</v>
      </c>
      <c r="D26" s="35"/>
      <c r="F26" s="35"/>
      <c r="U26" s="251"/>
    </row>
    <row r="27" spans="1:21" ht="15.6" x14ac:dyDescent="0.3">
      <c r="A27" s="36" t="s">
        <v>26</v>
      </c>
      <c r="D27" s="35"/>
      <c r="F27" s="35"/>
      <c r="U27" s="251"/>
    </row>
    <row r="28" spans="1:21" ht="15.6" x14ac:dyDescent="0.3">
      <c r="A28" s="36"/>
      <c r="D28" s="35"/>
      <c r="F28" s="35"/>
      <c r="U28" s="251"/>
    </row>
    <row r="29" spans="1:21" ht="15.6" x14ac:dyDescent="0.3">
      <c r="A29" s="256" t="s">
        <v>27</v>
      </c>
      <c r="B29" s="257"/>
      <c r="C29" s="257"/>
      <c r="D29" s="257"/>
      <c r="E29" s="257"/>
      <c r="F29" s="504"/>
      <c r="G29" s="504"/>
      <c r="H29" s="504"/>
      <c r="I29" s="504"/>
      <c r="J29" s="504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8"/>
    </row>
    <row r="30" spans="1:21" ht="15.6" x14ac:dyDescent="0.3">
      <c r="A30" s="37"/>
      <c r="B30" s="38"/>
      <c r="C30" s="38"/>
      <c r="D30" s="38"/>
      <c r="E30" s="38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40"/>
    </row>
    <row r="31" spans="1:21" ht="24.6" x14ac:dyDescent="0.4">
      <c r="A31" s="41" t="s">
        <v>28</v>
      </c>
      <c r="B31" s="42"/>
      <c r="C31" s="42"/>
      <c r="D31" s="43"/>
      <c r="E31" s="42"/>
      <c r="F31" s="44"/>
      <c r="G31" s="42"/>
      <c r="H31" s="42"/>
      <c r="I31" s="42"/>
      <c r="J31" s="42"/>
      <c r="K31" s="42"/>
      <c r="L31" s="42"/>
      <c r="M31" s="42"/>
      <c r="N31" s="45"/>
      <c r="O31" s="42"/>
      <c r="P31" s="46"/>
      <c r="Q31" s="47" t="s">
        <v>29</v>
      </c>
      <c r="R31" s="48" t="s">
        <v>30</v>
      </c>
      <c r="S31" s="47" t="s">
        <v>31</v>
      </c>
      <c r="T31" s="48" t="s">
        <v>32</v>
      </c>
      <c r="U31" s="49"/>
    </row>
    <row r="32" spans="1:21" x14ac:dyDescent="0.3">
      <c r="A32" s="41" t="s">
        <v>316</v>
      </c>
      <c r="B32" s="42"/>
      <c r="C32" s="42"/>
      <c r="D32" s="42"/>
      <c r="E32" s="42"/>
      <c r="F32" s="42"/>
      <c r="G32" s="42"/>
      <c r="H32" s="42"/>
      <c r="I32" s="295"/>
      <c r="J32" s="295"/>
      <c r="K32" s="295"/>
      <c r="L32" s="259" t="s">
        <v>317</v>
      </c>
      <c r="M32" s="295"/>
      <c r="N32" s="295"/>
      <c r="O32" s="295"/>
      <c r="P32" s="297" t="s">
        <v>318</v>
      </c>
      <c r="Q32" s="297"/>
      <c r="R32" s="295"/>
      <c r="S32" s="295"/>
      <c r="T32" s="295"/>
      <c r="U32" s="296"/>
    </row>
    <row r="33" spans="1:21" ht="24" x14ac:dyDescent="0.4">
      <c r="A33" s="41"/>
      <c r="B33" s="42"/>
      <c r="C33" s="42"/>
      <c r="D33" s="43"/>
      <c r="E33" s="42"/>
      <c r="F33" s="44"/>
      <c r="G33" s="42"/>
      <c r="H33" s="42"/>
      <c r="I33" s="42"/>
      <c r="J33" s="42"/>
      <c r="K33" s="42"/>
      <c r="L33" s="42"/>
      <c r="M33" s="42"/>
      <c r="N33" s="45"/>
      <c r="O33" s="42"/>
      <c r="P33" s="46"/>
      <c r="Q33" s="46"/>
      <c r="R33" s="42"/>
      <c r="S33" s="42"/>
      <c r="T33" s="50"/>
      <c r="U33" s="49"/>
    </row>
    <row r="34" spans="1:21" ht="24.6" x14ac:dyDescent="0.4">
      <c r="A34" s="41" t="s">
        <v>33</v>
      </c>
      <c r="B34" s="42"/>
      <c r="C34" s="42"/>
      <c r="D34" s="43"/>
      <c r="E34" s="42"/>
      <c r="F34" s="44"/>
      <c r="G34" s="42"/>
      <c r="H34" s="42"/>
      <c r="I34" s="42"/>
      <c r="J34" s="42"/>
      <c r="K34" s="42"/>
      <c r="L34" s="42"/>
      <c r="M34" s="42"/>
      <c r="N34" s="45"/>
      <c r="O34" s="42"/>
      <c r="P34" s="46"/>
      <c r="Q34" s="47" t="s">
        <v>29</v>
      </c>
      <c r="R34" s="48" t="s">
        <v>30</v>
      </c>
      <c r="S34" s="47" t="s">
        <v>31</v>
      </c>
      <c r="T34" s="48" t="s">
        <v>32</v>
      </c>
      <c r="U34" s="49"/>
    </row>
    <row r="35" spans="1:21" x14ac:dyDescent="0.3">
      <c r="A35" s="41" t="s">
        <v>34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9"/>
    </row>
    <row r="36" spans="1:21" x14ac:dyDescent="0.3">
      <c r="A36" s="41"/>
      <c r="B36" s="42"/>
      <c r="C36" s="42"/>
      <c r="D36" s="42"/>
      <c r="E36" s="42"/>
      <c r="F36" s="42"/>
      <c r="G36" s="42"/>
      <c r="H36" s="42"/>
      <c r="I36" s="51"/>
      <c r="J36" s="42"/>
      <c r="K36" s="42"/>
      <c r="L36" s="42"/>
      <c r="M36" s="42"/>
      <c r="N36" s="42"/>
      <c r="O36" s="42"/>
      <c r="P36" s="51"/>
      <c r="Q36" s="42"/>
      <c r="R36" s="42"/>
      <c r="S36" s="42"/>
      <c r="T36" s="42"/>
      <c r="U36" s="49"/>
    </row>
    <row r="37" spans="1:21" x14ac:dyDescent="0.3">
      <c r="A37" s="29"/>
      <c r="U37" s="251"/>
    </row>
    <row r="38" spans="1:21" ht="15.6" x14ac:dyDescent="0.3">
      <c r="A38" s="52" t="s">
        <v>35</v>
      </c>
      <c r="U38" s="251"/>
    </row>
    <row r="39" spans="1:21" ht="15" thickBot="1" x14ac:dyDescent="0.35">
      <c r="A39" s="29"/>
      <c r="U39" s="251"/>
    </row>
    <row r="40" spans="1:21" x14ac:dyDescent="0.3">
      <c r="A40" s="270" t="s">
        <v>8</v>
      </c>
      <c r="B40" s="260"/>
      <c r="C40" s="261"/>
      <c r="D40" s="289" t="s">
        <v>9</v>
      </c>
      <c r="E40" s="290"/>
      <c r="F40" s="290"/>
      <c r="G40" s="290"/>
      <c r="H40" s="290"/>
      <c r="I40" s="290"/>
      <c r="J40" s="290"/>
      <c r="K40" s="290"/>
      <c r="L40" s="291"/>
      <c r="M40" s="270" t="s">
        <v>11</v>
      </c>
      <c r="N40" s="260"/>
      <c r="O40" s="261"/>
      <c r="P40" s="260" t="s">
        <v>36</v>
      </c>
      <c r="Q40" s="260"/>
      <c r="R40" s="261"/>
      <c r="S40" s="260" t="s">
        <v>37</v>
      </c>
      <c r="T40" s="260"/>
      <c r="U40" s="261"/>
    </row>
    <row r="41" spans="1:21" x14ac:dyDescent="0.3">
      <c r="A41" s="262" t="s">
        <v>38</v>
      </c>
      <c r="B41" s="263"/>
      <c r="C41" s="264"/>
      <c r="D41" s="268"/>
      <c r="E41" s="263"/>
      <c r="F41" s="263"/>
      <c r="G41" s="263"/>
      <c r="H41" s="263"/>
      <c r="I41" s="263"/>
      <c r="J41" s="263"/>
      <c r="K41" s="263"/>
      <c r="L41" s="264"/>
      <c r="M41" s="268"/>
      <c r="N41" s="263"/>
      <c r="O41" s="264"/>
      <c r="P41" s="268"/>
      <c r="Q41" s="263"/>
      <c r="R41" s="264"/>
      <c r="S41" s="268" t="s">
        <v>21</v>
      </c>
      <c r="T41" s="263"/>
      <c r="U41" s="264"/>
    </row>
    <row r="42" spans="1:21" x14ac:dyDescent="0.3">
      <c r="A42" s="301"/>
      <c r="B42" s="302"/>
      <c r="C42" s="303"/>
      <c r="D42" s="298"/>
      <c r="E42" s="299"/>
      <c r="F42" s="299"/>
      <c r="G42" s="299"/>
      <c r="H42" s="299"/>
      <c r="I42" s="299"/>
      <c r="J42" s="299"/>
      <c r="K42" s="299"/>
      <c r="L42" s="300"/>
      <c r="M42" s="298"/>
      <c r="N42" s="299"/>
      <c r="O42" s="300"/>
      <c r="P42" s="298"/>
      <c r="Q42" s="299"/>
      <c r="R42" s="300"/>
      <c r="S42" s="298"/>
      <c r="T42" s="299"/>
      <c r="U42" s="300"/>
    </row>
    <row r="43" spans="1:21" x14ac:dyDescent="0.3">
      <c r="A43" s="301"/>
      <c r="B43" s="302"/>
      <c r="C43" s="303"/>
      <c r="D43" s="298"/>
      <c r="E43" s="299"/>
      <c r="F43" s="299"/>
      <c r="G43" s="299"/>
      <c r="H43" s="299"/>
      <c r="I43" s="299"/>
      <c r="J43" s="299"/>
      <c r="K43" s="299"/>
      <c r="L43" s="300"/>
      <c r="M43" s="298"/>
      <c r="N43" s="299"/>
      <c r="O43" s="300"/>
      <c r="P43" s="298"/>
      <c r="Q43" s="299"/>
      <c r="R43" s="300"/>
      <c r="S43" s="298"/>
      <c r="T43" s="299"/>
      <c r="U43" s="300"/>
    </row>
    <row r="44" spans="1:21" x14ac:dyDescent="0.3">
      <c r="A44" s="301"/>
      <c r="B44" s="302"/>
      <c r="C44" s="303"/>
      <c r="D44" s="298"/>
      <c r="E44" s="299"/>
      <c r="F44" s="299"/>
      <c r="G44" s="299"/>
      <c r="H44" s="299"/>
      <c r="I44" s="299"/>
      <c r="J44" s="299"/>
      <c r="K44" s="299"/>
      <c r="L44" s="300"/>
      <c r="M44" s="298"/>
      <c r="N44" s="299"/>
      <c r="O44" s="300"/>
      <c r="P44" s="298"/>
      <c r="Q44" s="299"/>
      <c r="R44" s="300"/>
      <c r="S44" s="298"/>
      <c r="T44" s="299"/>
      <c r="U44" s="300"/>
    </row>
    <row r="45" spans="1:21" x14ac:dyDescent="0.3">
      <c r="A45" s="301"/>
      <c r="B45" s="302"/>
      <c r="C45" s="303"/>
      <c r="D45" s="298"/>
      <c r="E45" s="299"/>
      <c r="F45" s="299"/>
      <c r="G45" s="299"/>
      <c r="H45" s="299"/>
      <c r="I45" s="299"/>
      <c r="J45" s="299"/>
      <c r="K45" s="299"/>
      <c r="L45" s="300"/>
      <c r="M45" s="298"/>
      <c r="N45" s="299"/>
      <c r="O45" s="300"/>
      <c r="P45" s="298"/>
      <c r="Q45" s="299"/>
      <c r="R45" s="300"/>
      <c r="S45" s="298"/>
      <c r="T45" s="299"/>
      <c r="U45" s="300"/>
    </row>
    <row r="46" spans="1:21" x14ac:dyDescent="0.3">
      <c r="A46" s="301"/>
      <c r="B46" s="302"/>
      <c r="C46" s="303"/>
      <c r="D46" s="298"/>
      <c r="E46" s="299"/>
      <c r="F46" s="299"/>
      <c r="G46" s="299"/>
      <c r="H46" s="299"/>
      <c r="I46" s="299"/>
      <c r="J46" s="299"/>
      <c r="K46" s="299"/>
      <c r="L46" s="300"/>
      <c r="M46" s="298"/>
      <c r="N46" s="299"/>
      <c r="O46" s="300"/>
      <c r="P46" s="298"/>
      <c r="Q46" s="299"/>
      <c r="R46" s="300"/>
      <c r="S46" s="298"/>
      <c r="T46" s="299"/>
      <c r="U46" s="300"/>
    </row>
    <row r="47" spans="1:21" x14ac:dyDescent="0.3">
      <c r="A47" s="29" t="s">
        <v>22</v>
      </c>
      <c r="U47" s="251"/>
    </row>
    <row r="48" spans="1:21" ht="15.6" x14ac:dyDescent="0.3">
      <c r="A48" s="36"/>
      <c r="D48" s="35"/>
      <c r="F48" s="35"/>
      <c r="U48" s="251"/>
    </row>
    <row r="49" spans="1:21" ht="15.6" x14ac:dyDescent="0.3">
      <c r="A49" s="505" t="s">
        <v>39</v>
      </c>
      <c r="B49" s="506"/>
      <c r="C49" s="506"/>
      <c r="D49" s="506"/>
      <c r="E49" s="506"/>
      <c r="F49" s="506"/>
      <c r="G49" s="506"/>
      <c r="H49" s="506"/>
      <c r="I49" s="506"/>
      <c r="J49" s="506"/>
      <c r="K49" s="506"/>
      <c r="L49" s="506"/>
      <c r="M49" s="506" t="s">
        <v>40</v>
      </c>
      <c r="N49" s="506"/>
      <c r="O49" s="506"/>
      <c r="P49" s="506"/>
      <c r="Q49" s="506"/>
      <c r="R49" s="506"/>
      <c r="S49" s="506"/>
      <c r="T49" s="506"/>
      <c r="U49" s="507"/>
    </row>
    <row r="50" spans="1:21" ht="15.6" x14ac:dyDescent="0.3">
      <c r="A50" s="37"/>
      <c r="B50" s="38"/>
      <c r="C50" s="38"/>
      <c r="D50" s="38"/>
      <c r="E50" s="38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40"/>
    </row>
    <row r="51" spans="1:21" ht="24.6" x14ac:dyDescent="0.4">
      <c r="A51" s="41" t="s">
        <v>41</v>
      </c>
      <c r="B51" s="42"/>
      <c r="C51" s="42"/>
      <c r="D51" s="43"/>
      <c r="E51" s="42"/>
      <c r="F51" s="44"/>
      <c r="G51" s="42"/>
      <c r="H51" s="42"/>
      <c r="I51" s="42"/>
      <c r="J51" s="42"/>
      <c r="K51" s="42"/>
      <c r="L51" s="42"/>
      <c r="M51" s="42"/>
      <c r="N51" s="45"/>
      <c r="O51" s="42"/>
      <c r="P51" s="46"/>
      <c r="Q51" s="47" t="s">
        <v>29</v>
      </c>
      <c r="R51" s="48" t="s">
        <v>30</v>
      </c>
      <c r="S51" s="47" t="s">
        <v>31</v>
      </c>
      <c r="T51" s="48" t="s">
        <v>32</v>
      </c>
      <c r="U51" s="49"/>
    </row>
    <row r="52" spans="1:21" x14ac:dyDescent="0.3">
      <c r="A52" s="41" t="s">
        <v>42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9"/>
    </row>
    <row r="53" spans="1:21" ht="24" x14ac:dyDescent="0.4">
      <c r="A53" s="41"/>
      <c r="B53" s="42"/>
      <c r="C53" s="42"/>
      <c r="D53" s="43"/>
      <c r="E53" s="42"/>
      <c r="F53" s="44"/>
      <c r="G53" s="42"/>
      <c r="H53" s="42"/>
      <c r="I53" s="42"/>
      <c r="J53" s="42"/>
      <c r="K53" s="42"/>
      <c r="L53" s="42"/>
      <c r="M53" s="42"/>
      <c r="N53" s="45"/>
      <c r="O53" s="42"/>
      <c r="P53" s="46"/>
      <c r="Q53" s="46"/>
      <c r="R53" s="42"/>
      <c r="S53" s="42"/>
      <c r="T53" s="50"/>
      <c r="U53" s="49"/>
    </row>
    <row r="54" spans="1:21" ht="24.6" x14ac:dyDescent="0.4">
      <c r="A54" s="41" t="s">
        <v>43</v>
      </c>
      <c r="B54" s="42"/>
      <c r="C54" s="42"/>
      <c r="D54" s="43"/>
      <c r="E54" s="42"/>
      <c r="F54" s="44"/>
      <c r="G54" s="42"/>
      <c r="H54" s="42"/>
      <c r="I54" s="42"/>
      <c r="J54" s="42"/>
      <c r="K54" s="42"/>
      <c r="L54" s="42"/>
      <c r="M54" s="42"/>
      <c r="N54" s="45"/>
      <c r="O54" s="42"/>
      <c r="P54" s="46"/>
      <c r="Q54" s="47" t="s">
        <v>29</v>
      </c>
      <c r="R54" s="48" t="s">
        <v>30</v>
      </c>
      <c r="S54" s="47" t="s">
        <v>31</v>
      </c>
      <c r="T54" s="48" t="s">
        <v>32</v>
      </c>
      <c r="U54" s="49"/>
    </row>
    <row r="55" spans="1:21" x14ac:dyDescent="0.3">
      <c r="A55" s="41" t="s">
        <v>44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9"/>
    </row>
    <row r="56" spans="1:21" x14ac:dyDescent="0.3">
      <c r="A56" s="41"/>
      <c r="B56" s="42"/>
      <c r="C56" s="42"/>
      <c r="D56" s="42"/>
      <c r="E56" s="42"/>
      <c r="F56" s="42"/>
      <c r="G56" s="42"/>
      <c r="H56" s="42"/>
      <c r="I56" s="51"/>
      <c r="J56" s="42"/>
      <c r="K56" s="42"/>
      <c r="L56" s="42"/>
      <c r="M56" s="42"/>
      <c r="N56" s="42"/>
      <c r="O56" s="42"/>
      <c r="P56" s="51"/>
      <c r="Q56" s="42"/>
      <c r="R56" s="42"/>
      <c r="S56" s="42"/>
      <c r="T56" s="42"/>
      <c r="U56" s="49"/>
    </row>
    <row r="57" spans="1:21" x14ac:dyDescent="0.3">
      <c r="A57" s="29"/>
      <c r="U57" s="251"/>
    </row>
    <row r="58" spans="1:21" ht="15.6" x14ac:dyDescent="0.3">
      <c r="A58" s="36" t="s">
        <v>45</v>
      </c>
      <c r="J58" s="32" t="s">
        <v>46</v>
      </c>
      <c r="K58" s="250" t="s">
        <v>47</v>
      </c>
      <c r="P58" s="53"/>
      <c r="Q58" s="53"/>
      <c r="R58" s="53" t="s">
        <v>48</v>
      </c>
      <c r="U58" s="251"/>
    </row>
    <row r="59" spans="1:21" ht="15.6" x14ac:dyDescent="0.3">
      <c r="A59" s="36"/>
      <c r="J59" s="32"/>
      <c r="P59" s="53"/>
      <c r="Q59" s="53"/>
      <c r="R59" s="53"/>
      <c r="U59" s="251"/>
    </row>
    <row r="60" spans="1:21" ht="15.6" x14ac:dyDescent="0.3">
      <c r="A60" s="36" t="s">
        <v>49</v>
      </c>
      <c r="J60" s="32" t="s">
        <v>46</v>
      </c>
      <c r="K60" s="250" t="s">
        <v>47</v>
      </c>
      <c r="P60" s="53"/>
      <c r="Q60" s="53"/>
      <c r="R60" s="53" t="s">
        <v>48</v>
      </c>
      <c r="U60" s="251"/>
    </row>
    <row r="61" spans="1:21" ht="15.6" x14ac:dyDescent="0.3">
      <c r="A61" s="36"/>
      <c r="J61" s="32"/>
      <c r="P61" s="53"/>
      <c r="Q61" s="53"/>
      <c r="R61" s="53"/>
      <c r="U61" s="251"/>
    </row>
    <row r="62" spans="1:21" ht="15.6" x14ac:dyDescent="0.3">
      <c r="A62" s="36" t="s">
        <v>50</v>
      </c>
      <c r="J62" s="32" t="s">
        <v>46</v>
      </c>
      <c r="K62" s="250" t="s">
        <v>47</v>
      </c>
      <c r="P62" s="53"/>
      <c r="Q62" s="53"/>
      <c r="R62" s="53" t="s">
        <v>48</v>
      </c>
      <c r="U62" s="251"/>
    </row>
    <row r="63" spans="1:21" ht="15.6" x14ac:dyDescent="0.3">
      <c r="A63" s="29" t="s">
        <v>51</v>
      </c>
      <c r="J63" s="32"/>
      <c r="P63" s="53"/>
      <c r="Q63" s="53"/>
      <c r="R63" s="53"/>
      <c r="U63" s="251"/>
    </row>
    <row r="64" spans="1:21" x14ac:dyDescent="0.3">
      <c r="A64" s="29"/>
      <c r="J64" s="32"/>
      <c r="U64" s="251"/>
    </row>
    <row r="65" spans="1:21" ht="15.6" x14ac:dyDescent="0.3">
      <c r="A65" s="36" t="s">
        <v>52</v>
      </c>
      <c r="J65" s="32" t="s">
        <v>46</v>
      </c>
      <c r="K65" s="250" t="s">
        <v>47</v>
      </c>
      <c r="P65" s="53"/>
      <c r="Q65" s="53"/>
      <c r="R65" s="53" t="s">
        <v>48</v>
      </c>
      <c r="U65" s="251"/>
    </row>
    <row r="66" spans="1:21" x14ac:dyDescent="0.3">
      <c r="A66" s="54"/>
      <c r="B66" s="55"/>
      <c r="C66" s="55"/>
      <c r="D66" s="56"/>
      <c r="E66" s="252"/>
      <c r="F66" s="56"/>
      <c r="G66" s="57"/>
      <c r="H66" s="57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3"/>
    </row>
    <row r="67" spans="1:21" ht="15.6" x14ac:dyDescent="0.3">
      <c r="A67" s="58" t="s">
        <v>53</v>
      </c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60"/>
    </row>
    <row r="68" spans="1:21" x14ac:dyDescent="0.3">
      <c r="A68" s="61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7"/>
    </row>
    <row r="69" spans="1:21" x14ac:dyDescent="0.3">
      <c r="A69" s="29" t="s">
        <v>54</v>
      </c>
      <c r="G69" s="305"/>
      <c r="H69" s="305"/>
      <c r="I69" s="305"/>
      <c r="J69" s="305"/>
      <c r="M69" s="63" t="s">
        <v>55</v>
      </c>
      <c r="N69" s="63"/>
      <c r="O69" s="63"/>
      <c r="P69" s="63"/>
      <c r="U69" s="64" t="s">
        <v>56</v>
      </c>
    </row>
    <row r="70" spans="1:21" x14ac:dyDescent="0.3">
      <c r="A70" s="29"/>
      <c r="M70" s="250" t="s">
        <v>57</v>
      </c>
      <c r="Q70" s="503"/>
      <c r="R70" s="503"/>
      <c r="S70" s="503"/>
      <c r="U70" s="33"/>
    </row>
    <row r="71" spans="1:21" x14ac:dyDescent="0.3">
      <c r="A71" s="29" t="s">
        <v>58</v>
      </c>
      <c r="G71" s="508"/>
      <c r="H71" s="508"/>
      <c r="M71" s="250" t="s">
        <v>59</v>
      </c>
      <c r="Q71" s="305"/>
      <c r="R71" s="305"/>
      <c r="U71" s="33"/>
    </row>
    <row r="72" spans="1:21" x14ac:dyDescent="0.3">
      <c r="A72" s="29" t="s">
        <v>60</v>
      </c>
      <c r="G72" s="503"/>
      <c r="H72" s="503"/>
      <c r="M72" s="250" t="s">
        <v>61</v>
      </c>
      <c r="Q72" s="305"/>
      <c r="R72" s="305"/>
      <c r="S72" s="305"/>
      <c r="U72" s="33"/>
    </row>
    <row r="73" spans="1:21" x14ac:dyDescent="0.3">
      <c r="A73" s="29"/>
      <c r="M73" s="250" t="s">
        <v>62</v>
      </c>
      <c r="Q73" s="305"/>
      <c r="R73" s="305"/>
      <c r="U73" s="33"/>
    </row>
    <row r="74" spans="1:21" x14ac:dyDescent="0.3">
      <c r="A74" s="29" t="s">
        <v>63</v>
      </c>
      <c r="G74" s="304"/>
      <c r="H74" s="304"/>
      <c r="M74" s="250" t="s">
        <v>64</v>
      </c>
      <c r="Q74" s="305"/>
      <c r="R74" s="305"/>
      <c r="S74" s="305"/>
      <c r="U74" s="33"/>
    </row>
    <row r="75" spans="1:21" x14ac:dyDescent="0.3">
      <c r="A75" s="29"/>
      <c r="M75" s="250" t="s">
        <v>65</v>
      </c>
      <c r="Q75" s="305"/>
      <c r="R75" s="305"/>
      <c r="U75" s="33"/>
    </row>
    <row r="76" spans="1:21" x14ac:dyDescent="0.3">
      <c r="A76" s="29" t="s">
        <v>66</v>
      </c>
      <c r="G76" s="255"/>
      <c r="M76" s="250" t="s">
        <v>67</v>
      </c>
      <c r="Q76" s="305"/>
      <c r="R76" s="305"/>
      <c r="U76" s="33"/>
    </row>
    <row r="77" spans="1:21" x14ac:dyDescent="0.3">
      <c r="A77" s="29" t="s">
        <v>68</v>
      </c>
      <c r="G77" s="255"/>
      <c r="M77" s="250" t="s">
        <v>69</v>
      </c>
      <c r="Q77" s="305"/>
      <c r="R77" s="305"/>
      <c r="U77" s="33"/>
    </row>
    <row r="78" spans="1:21" x14ac:dyDescent="0.3">
      <c r="A78" s="29" t="s">
        <v>70</v>
      </c>
      <c r="G78" s="255"/>
      <c r="M78" s="250" t="s">
        <v>71</v>
      </c>
      <c r="Q78" s="305"/>
      <c r="R78" s="305"/>
      <c r="U78" s="33"/>
    </row>
    <row r="79" spans="1:21" x14ac:dyDescent="0.3">
      <c r="A79" s="29"/>
      <c r="M79" s="250" t="s">
        <v>72</v>
      </c>
      <c r="Q79" s="305"/>
      <c r="R79" s="305"/>
      <c r="U79" s="33"/>
    </row>
    <row r="80" spans="1:21" x14ac:dyDescent="0.3">
      <c r="A80" s="29" t="s">
        <v>73</v>
      </c>
      <c r="G80" s="304"/>
      <c r="H80" s="304"/>
      <c r="K80" s="250" t="s">
        <v>74</v>
      </c>
      <c r="Q80" s="66"/>
      <c r="U80" s="67"/>
    </row>
    <row r="81" spans="1:21" x14ac:dyDescent="0.3">
      <c r="A81" s="29"/>
      <c r="J81" s="250" t="s">
        <v>74</v>
      </c>
      <c r="M81" s="250" t="s">
        <v>75</v>
      </c>
      <c r="Q81" s="254"/>
      <c r="R81" s="68" t="s">
        <v>76</v>
      </c>
      <c r="S81" s="25"/>
      <c r="U81" s="33"/>
    </row>
    <row r="82" spans="1:21" x14ac:dyDescent="0.3">
      <c r="A82" s="29" t="s">
        <v>77</v>
      </c>
      <c r="G82" s="503"/>
      <c r="H82" s="503"/>
      <c r="I82" s="503"/>
      <c r="J82" s="503"/>
      <c r="L82" s="250" t="s">
        <v>74</v>
      </c>
      <c r="M82" s="250" t="s">
        <v>78</v>
      </c>
      <c r="Q82" s="254"/>
      <c r="R82" s="68" t="s">
        <v>76</v>
      </c>
      <c r="S82" s="25"/>
      <c r="U82" s="33"/>
    </row>
    <row r="83" spans="1:21" ht="15" thickBot="1" x14ac:dyDescent="0.35">
      <c r="A83" s="20"/>
      <c r="B83" s="252"/>
      <c r="C83" s="252"/>
      <c r="D83" s="252"/>
      <c r="E83" s="252"/>
      <c r="F83" s="252"/>
      <c r="G83" s="252"/>
      <c r="H83" s="252"/>
      <c r="I83" s="252"/>
      <c r="J83" s="252"/>
      <c r="K83" s="252"/>
      <c r="L83" s="252"/>
      <c r="M83" s="252"/>
      <c r="N83" s="252"/>
      <c r="O83" s="252"/>
      <c r="P83" s="252"/>
      <c r="Q83" s="252"/>
      <c r="R83" s="252"/>
      <c r="S83" s="252"/>
      <c r="T83" s="252"/>
      <c r="U83" s="253"/>
    </row>
    <row r="84" spans="1:21" x14ac:dyDescent="0.3">
      <c r="A84" s="270" t="s">
        <v>8</v>
      </c>
      <c r="B84" s="260"/>
      <c r="C84" s="261"/>
      <c r="D84" s="271" t="s">
        <v>9</v>
      </c>
      <c r="E84" s="272"/>
      <c r="F84" s="272"/>
      <c r="G84" s="272"/>
      <c r="H84" s="273"/>
      <c r="I84" s="270" t="s">
        <v>10</v>
      </c>
      <c r="J84" s="261"/>
      <c r="K84" s="270" t="s">
        <v>11</v>
      </c>
      <c r="L84" s="260"/>
      <c r="M84" s="261"/>
      <c r="N84" s="270" t="s">
        <v>12</v>
      </c>
      <c r="O84" s="261"/>
      <c r="P84" s="260" t="s">
        <v>13</v>
      </c>
      <c r="Q84" s="260"/>
      <c r="R84" s="261"/>
      <c r="S84" s="30"/>
      <c r="T84" s="30" t="s">
        <v>14</v>
      </c>
      <c r="U84" s="31"/>
    </row>
    <row r="85" spans="1:21" x14ac:dyDescent="0.3">
      <c r="A85" s="262" t="s">
        <v>15</v>
      </c>
      <c r="B85" s="263"/>
      <c r="C85" s="264"/>
      <c r="D85" s="265"/>
      <c r="E85" s="266"/>
      <c r="F85" s="266"/>
      <c r="G85" s="266"/>
      <c r="H85" s="267"/>
      <c r="I85" s="29" t="s">
        <v>16</v>
      </c>
      <c r="J85" s="251"/>
      <c r="K85" s="268"/>
      <c r="L85" s="263"/>
      <c r="M85" s="264"/>
      <c r="N85" s="268" t="s">
        <v>17</v>
      </c>
      <c r="O85" s="264"/>
      <c r="P85" s="268"/>
      <c r="Q85" s="263"/>
      <c r="R85" s="264"/>
      <c r="S85" s="268"/>
      <c r="T85" s="263"/>
      <c r="U85" s="264"/>
    </row>
    <row r="86" spans="1:21" x14ac:dyDescent="0.3">
      <c r="A86" s="283" t="s">
        <v>18</v>
      </c>
      <c r="B86" s="284"/>
      <c r="C86" s="285"/>
      <c r="D86" s="265"/>
      <c r="E86" s="266"/>
      <c r="F86" s="266"/>
      <c r="G86" s="266"/>
      <c r="H86" s="267"/>
      <c r="I86" s="268"/>
      <c r="J86" s="264"/>
      <c r="K86" s="268"/>
      <c r="L86" s="263"/>
      <c r="M86" s="264"/>
      <c r="N86" s="268"/>
      <c r="O86" s="264"/>
      <c r="P86" s="268"/>
      <c r="Q86" s="263"/>
      <c r="R86" s="264"/>
      <c r="S86" s="268"/>
      <c r="T86" s="263"/>
      <c r="U86" s="264"/>
    </row>
    <row r="87" spans="1:21" x14ac:dyDescent="0.3">
      <c r="A87" s="274" t="s">
        <v>19</v>
      </c>
      <c r="B87" s="275"/>
      <c r="C87" s="276"/>
      <c r="D87" s="277"/>
      <c r="E87" s="278"/>
      <c r="F87" s="278"/>
      <c r="G87" s="278"/>
      <c r="H87" s="279"/>
      <c r="I87" s="250" t="s">
        <v>20</v>
      </c>
      <c r="K87" s="280"/>
      <c r="L87" s="281"/>
      <c r="M87" s="282"/>
      <c r="N87" s="280"/>
      <c r="O87" s="282"/>
      <c r="P87" s="280"/>
      <c r="Q87" s="281"/>
      <c r="R87" s="282"/>
      <c r="S87" s="280" t="s">
        <v>21</v>
      </c>
      <c r="T87" s="281"/>
      <c r="U87" s="282"/>
    </row>
    <row r="88" spans="1:21" x14ac:dyDescent="0.3">
      <c r="A88" s="286"/>
      <c r="B88" s="286"/>
      <c r="C88" s="286"/>
      <c r="D88" s="287"/>
      <c r="E88" s="287"/>
      <c r="F88" s="287"/>
      <c r="G88" s="287"/>
      <c r="H88" s="287"/>
      <c r="I88" s="33"/>
      <c r="J88" s="33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</row>
    <row r="89" spans="1:21" x14ac:dyDescent="0.3">
      <c r="A89" s="286"/>
      <c r="B89" s="286"/>
      <c r="C89" s="286"/>
      <c r="D89" s="287"/>
      <c r="E89" s="287"/>
      <c r="F89" s="287"/>
      <c r="G89" s="287"/>
      <c r="H89" s="287"/>
      <c r="I89" s="33"/>
      <c r="J89" s="33"/>
      <c r="K89" s="288"/>
      <c r="L89" s="288"/>
      <c r="M89" s="288"/>
      <c r="N89" s="288"/>
      <c r="O89" s="288"/>
      <c r="P89" s="288"/>
      <c r="Q89" s="288"/>
      <c r="R89" s="288"/>
      <c r="S89" s="288"/>
      <c r="T89" s="288"/>
      <c r="U89" s="288"/>
    </row>
    <row r="90" spans="1:21" x14ac:dyDescent="0.3">
      <c r="A90" s="286"/>
      <c r="B90" s="286"/>
      <c r="C90" s="286"/>
      <c r="D90" s="287"/>
      <c r="E90" s="287"/>
      <c r="F90" s="287"/>
      <c r="G90" s="287"/>
      <c r="H90" s="287"/>
      <c r="I90" s="33"/>
      <c r="J90" s="33"/>
      <c r="K90" s="288"/>
      <c r="L90" s="288"/>
      <c r="M90" s="288"/>
      <c r="N90" s="288"/>
      <c r="O90" s="288"/>
      <c r="P90" s="288"/>
      <c r="Q90" s="288"/>
      <c r="R90" s="288"/>
      <c r="S90" s="288"/>
      <c r="T90" s="288"/>
      <c r="U90" s="288"/>
    </row>
    <row r="91" spans="1:21" x14ac:dyDescent="0.3">
      <c r="A91" s="286"/>
      <c r="B91" s="286"/>
      <c r="C91" s="286"/>
      <c r="D91" s="287"/>
      <c r="E91" s="287"/>
      <c r="F91" s="287"/>
      <c r="G91" s="287"/>
      <c r="H91" s="287"/>
      <c r="I91" s="33"/>
      <c r="J91" s="33"/>
      <c r="K91" s="288"/>
      <c r="L91" s="288"/>
      <c r="M91" s="288"/>
      <c r="N91" s="288"/>
      <c r="O91" s="288"/>
      <c r="P91" s="288"/>
      <c r="Q91" s="288"/>
      <c r="R91" s="288"/>
      <c r="S91" s="288"/>
      <c r="T91" s="288"/>
      <c r="U91" s="288"/>
    </row>
    <row r="92" spans="1:21" x14ac:dyDescent="0.3">
      <c r="A92" s="286"/>
      <c r="B92" s="286"/>
      <c r="C92" s="286"/>
      <c r="D92" s="287"/>
      <c r="E92" s="287"/>
      <c r="F92" s="287"/>
      <c r="G92" s="287"/>
      <c r="H92" s="287"/>
      <c r="I92" s="33"/>
      <c r="J92" s="33"/>
      <c r="K92" s="288"/>
      <c r="L92" s="288"/>
      <c r="M92" s="288"/>
      <c r="N92" s="288"/>
      <c r="O92" s="288"/>
      <c r="P92" s="288"/>
      <c r="Q92" s="288"/>
      <c r="R92" s="288"/>
      <c r="S92" s="288"/>
      <c r="T92" s="288"/>
      <c r="U92" s="288"/>
    </row>
    <row r="93" spans="1:21" x14ac:dyDescent="0.3">
      <c r="A93" s="286"/>
      <c r="B93" s="286"/>
      <c r="C93" s="286"/>
      <c r="D93" s="287"/>
      <c r="E93" s="287"/>
      <c r="F93" s="287"/>
      <c r="G93" s="287"/>
      <c r="H93" s="287"/>
      <c r="I93" s="33"/>
      <c r="J93" s="33"/>
      <c r="K93" s="288"/>
      <c r="L93" s="288"/>
      <c r="M93" s="288"/>
      <c r="N93" s="288"/>
      <c r="O93" s="288"/>
      <c r="P93" s="288"/>
      <c r="Q93" s="288"/>
      <c r="R93" s="288"/>
      <c r="S93" s="288"/>
      <c r="T93" s="288"/>
      <c r="U93" s="288"/>
    </row>
    <row r="94" spans="1:21" x14ac:dyDescent="0.3">
      <c r="A94" s="286"/>
      <c r="B94" s="286"/>
      <c r="C94" s="286"/>
      <c r="D94" s="287"/>
      <c r="E94" s="287"/>
      <c r="F94" s="287"/>
      <c r="G94" s="287"/>
      <c r="H94" s="287"/>
      <c r="I94" s="33"/>
      <c r="J94" s="33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</row>
    <row r="95" spans="1:21" x14ac:dyDescent="0.3">
      <c r="A95" s="286"/>
      <c r="B95" s="286"/>
      <c r="C95" s="286"/>
      <c r="D95" s="287"/>
      <c r="E95" s="287"/>
      <c r="F95" s="287"/>
      <c r="G95" s="287"/>
      <c r="H95" s="287"/>
      <c r="I95" s="33"/>
      <c r="J95" s="33"/>
      <c r="K95" s="288"/>
      <c r="L95" s="288"/>
      <c r="M95" s="288"/>
      <c r="N95" s="288"/>
      <c r="O95" s="288"/>
      <c r="P95" s="288"/>
      <c r="Q95" s="288"/>
      <c r="R95" s="288"/>
      <c r="S95" s="288"/>
      <c r="T95" s="288"/>
      <c r="U95" s="288"/>
    </row>
    <row r="96" spans="1:21" x14ac:dyDescent="0.3">
      <c r="A96" s="286"/>
      <c r="B96" s="286"/>
      <c r="C96" s="286"/>
      <c r="D96" s="287"/>
      <c r="E96" s="287"/>
      <c r="F96" s="287"/>
      <c r="G96" s="287"/>
      <c r="H96" s="287"/>
      <c r="I96" s="33"/>
      <c r="J96" s="33"/>
      <c r="K96" s="288"/>
      <c r="L96" s="288"/>
      <c r="M96" s="288"/>
      <c r="N96" s="288"/>
      <c r="O96" s="288"/>
      <c r="P96" s="288"/>
      <c r="Q96" s="288"/>
      <c r="R96" s="288"/>
      <c r="S96" s="288"/>
      <c r="T96" s="288"/>
      <c r="U96" s="288"/>
    </row>
    <row r="97" spans="1:21" x14ac:dyDescent="0.3">
      <c r="A97" s="286"/>
      <c r="B97" s="286"/>
      <c r="C97" s="286"/>
      <c r="D97" s="287"/>
      <c r="E97" s="287"/>
      <c r="F97" s="287"/>
      <c r="G97" s="287"/>
      <c r="H97" s="287"/>
      <c r="I97" s="33"/>
      <c r="J97" s="33"/>
      <c r="K97" s="288"/>
      <c r="L97" s="288"/>
      <c r="M97" s="288"/>
      <c r="N97" s="288"/>
      <c r="O97" s="288"/>
      <c r="P97" s="288"/>
      <c r="Q97" s="288"/>
      <c r="R97" s="288"/>
      <c r="S97" s="288"/>
      <c r="T97" s="288"/>
      <c r="U97" s="288"/>
    </row>
    <row r="98" spans="1:21" x14ac:dyDescent="0.3">
      <c r="A98" s="286"/>
      <c r="B98" s="286"/>
      <c r="C98" s="286"/>
      <c r="D98" s="287"/>
      <c r="E98" s="287"/>
      <c r="F98" s="287"/>
      <c r="G98" s="287"/>
      <c r="H98" s="287"/>
      <c r="I98" s="33"/>
      <c r="J98" s="33"/>
      <c r="K98" s="288"/>
      <c r="L98" s="288"/>
      <c r="M98" s="288"/>
      <c r="N98" s="288"/>
      <c r="O98" s="288"/>
      <c r="P98" s="288"/>
      <c r="Q98" s="288"/>
      <c r="R98" s="288"/>
      <c r="S98" s="288"/>
      <c r="T98" s="288"/>
      <c r="U98" s="288"/>
    </row>
    <row r="99" spans="1:21" x14ac:dyDescent="0.3">
      <c r="A99" s="286"/>
      <c r="B99" s="286"/>
      <c r="C99" s="286"/>
      <c r="D99" s="287"/>
      <c r="E99" s="287"/>
      <c r="F99" s="287"/>
      <c r="G99" s="287"/>
      <c r="H99" s="287"/>
      <c r="I99" s="33"/>
      <c r="J99" s="33"/>
      <c r="K99" s="288"/>
      <c r="L99" s="288"/>
      <c r="M99" s="288"/>
      <c r="N99" s="288"/>
      <c r="O99" s="288"/>
      <c r="P99" s="288"/>
      <c r="Q99" s="288"/>
      <c r="R99" s="288"/>
      <c r="S99" s="288"/>
      <c r="T99" s="288"/>
      <c r="U99" s="288"/>
    </row>
    <row r="100" spans="1:21" x14ac:dyDescent="0.3">
      <c r="A100" s="286"/>
      <c r="B100" s="286"/>
      <c r="C100" s="286"/>
      <c r="D100" s="287"/>
      <c r="E100" s="287"/>
      <c r="F100" s="287"/>
      <c r="G100" s="287"/>
      <c r="H100" s="287"/>
      <c r="I100" s="33"/>
      <c r="J100" s="33"/>
      <c r="K100" s="288"/>
      <c r="L100" s="288"/>
      <c r="M100" s="288"/>
      <c r="N100" s="288"/>
      <c r="O100" s="288"/>
      <c r="P100" s="288"/>
      <c r="Q100" s="288"/>
      <c r="R100" s="288"/>
      <c r="S100" s="288"/>
      <c r="T100" s="288"/>
      <c r="U100" s="288"/>
    </row>
    <row r="101" spans="1:21" x14ac:dyDescent="0.3">
      <c r="A101" s="286"/>
      <c r="B101" s="286"/>
      <c r="C101" s="286"/>
      <c r="D101" s="287"/>
      <c r="E101" s="287"/>
      <c r="F101" s="287"/>
      <c r="G101" s="287"/>
      <c r="H101" s="287"/>
      <c r="I101" s="33"/>
      <c r="J101" s="33"/>
      <c r="K101" s="288"/>
      <c r="L101" s="288"/>
      <c r="M101" s="288"/>
      <c r="N101" s="288"/>
      <c r="O101" s="288"/>
      <c r="P101" s="288"/>
      <c r="Q101" s="288"/>
      <c r="R101" s="288"/>
      <c r="S101" s="288"/>
      <c r="T101" s="288"/>
      <c r="U101" s="288"/>
    </row>
    <row r="102" spans="1:21" ht="15" thickBot="1" x14ac:dyDescent="0.35">
      <c r="A102" s="292"/>
      <c r="B102" s="292"/>
      <c r="C102" s="292"/>
      <c r="D102" s="293"/>
      <c r="E102" s="293"/>
      <c r="F102" s="293"/>
      <c r="G102" s="293"/>
      <c r="H102" s="293"/>
      <c r="I102" s="34"/>
      <c r="J102" s="34"/>
      <c r="K102" s="294"/>
      <c r="L102" s="294"/>
      <c r="M102" s="294"/>
      <c r="N102" s="294"/>
      <c r="O102" s="294"/>
      <c r="P102" s="294"/>
      <c r="Q102" s="294"/>
      <c r="R102" s="294"/>
      <c r="S102" s="294"/>
      <c r="T102" s="294"/>
      <c r="U102" s="294"/>
    </row>
    <row r="103" spans="1:21" x14ac:dyDescent="0.3">
      <c r="A103" s="29"/>
      <c r="U103" s="251"/>
    </row>
    <row r="104" spans="1:21" ht="15.6" x14ac:dyDescent="0.3">
      <c r="A104" s="52" t="s">
        <v>35</v>
      </c>
      <c r="U104" s="251"/>
    </row>
    <row r="105" spans="1:21" ht="15" thickBot="1" x14ac:dyDescent="0.35">
      <c r="A105" s="29"/>
      <c r="U105" s="251"/>
    </row>
    <row r="106" spans="1:21" x14ac:dyDescent="0.3">
      <c r="A106" s="270" t="s">
        <v>8</v>
      </c>
      <c r="B106" s="260"/>
      <c r="C106" s="261"/>
      <c r="D106" s="289" t="s">
        <v>9</v>
      </c>
      <c r="E106" s="290"/>
      <c r="F106" s="290"/>
      <c r="G106" s="290"/>
      <c r="H106" s="290"/>
      <c r="I106" s="290"/>
      <c r="J106" s="290"/>
      <c r="K106" s="290"/>
      <c r="L106" s="291"/>
      <c r="M106" s="270" t="s">
        <v>11</v>
      </c>
      <c r="N106" s="260"/>
      <c r="O106" s="261"/>
      <c r="P106" s="260" t="s">
        <v>36</v>
      </c>
      <c r="Q106" s="260"/>
      <c r="R106" s="261"/>
      <c r="S106" s="260" t="s">
        <v>37</v>
      </c>
      <c r="T106" s="260"/>
      <c r="U106" s="261"/>
    </row>
    <row r="107" spans="1:21" x14ac:dyDescent="0.3">
      <c r="A107" s="262" t="s">
        <v>38</v>
      </c>
      <c r="B107" s="263"/>
      <c r="C107" s="264"/>
      <c r="D107" s="268"/>
      <c r="E107" s="263"/>
      <c r="F107" s="263"/>
      <c r="G107" s="263"/>
      <c r="H107" s="263"/>
      <c r="I107" s="263"/>
      <c r="J107" s="263"/>
      <c r="K107" s="263"/>
      <c r="L107" s="264"/>
      <c r="M107" s="268"/>
      <c r="N107" s="263"/>
      <c r="O107" s="264"/>
      <c r="P107" s="268"/>
      <c r="Q107" s="263"/>
      <c r="R107" s="264"/>
      <c r="S107" s="268" t="s">
        <v>21</v>
      </c>
      <c r="T107" s="263"/>
      <c r="U107" s="264"/>
    </row>
    <row r="108" spans="1:21" x14ac:dyDescent="0.3">
      <c r="A108" s="298"/>
      <c r="B108" s="299"/>
      <c r="C108" s="300"/>
      <c r="D108" s="298"/>
      <c r="E108" s="299"/>
      <c r="F108" s="299"/>
      <c r="G108" s="299"/>
      <c r="H108" s="299"/>
      <c r="I108" s="299"/>
      <c r="J108" s="299"/>
      <c r="K108" s="299"/>
      <c r="L108" s="300"/>
      <c r="M108" s="298"/>
      <c r="N108" s="299"/>
      <c r="O108" s="300"/>
      <c r="P108" s="298"/>
      <c r="Q108" s="299"/>
      <c r="R108" s="300"/>
      <c r="S108" s="298"/>
      <c r="T108" s="299"/>
      <c r="U108" s="300"/>
    </row>
    <row r="109" spans="1:21" x14ac:dyDescent="0.3">
      <c r="A109" s="298"/>
      <c r="B109" s="299"/>
      <c r="C109" s="300"/>
      <c r="D109" s="298"/>
      <c r="E109" s="299"/>
      <c r="F109" s="299"/>
      <c r="G109" s="299"/>
      <c r="H109" s="299"/>
      <c r="I109" s="299"/>
      <c r="J109" s="299"/>
      <c r="K109" s="299"/>
      <c r="L109" s="300"/>
      <c r="M109" s="298"/>
      <c r="N109" s="299"/>
      <c r="O109" s="300"/>
      <c r="P109" s="298"/>
      <c r="Q109" s="299"/>
      <c r="R109" s="300"/>
      <c r="S109" s="298"/>
      <c r="T109" s="299"/>
      <c r="U109" s="300"/>
    </row>
    <row r="110" spans="1:21" x14ac:dyDescent="0.3">
      <c r="A110" s="298"/>
      <c r="B110" s="299"/>
      <c r="C110" s="300"/>
      <c r="D110" s="298"/>
      <c r="E110" s="299"/>
      <c r="F110" s="299"/>
      <c r="G110" s="299"/>
      <c r="H110" s="299"/>
      <c r="I110" s="299"/>
      <c r="J110" s="299"/>
      <c r="K110" s="299"/>
      <c r="L110" s="300"/>
      <c r="M110" s="298"/>
      <c r="N110" s="299"/>
      <c r="O110" s="300"/>
      <c r="P110" s="298"/>
      <c r="Q110" s="299"/>
      <c r="R110" s="300"/>
      <c r="S110" s="298"/>
      <c r="T110" s="299"/>
      <c r="U110" s="300"/>
    </row>
    <row r="111" spans="1:21" x14ac:dyDescent="0.3">
      <c r="A111" s="298"/>
      <c r="B111" s="299"/>
      <c r="C111" s="300"/>
      <c r="D111" s="298"/>
      <c r="E111" s="299"/>
      <c r="F111" s="299"/>
      <c r="G111" s="299"/>
      <c r="H111" s="299"/>
      <c r="I111" s="299"/>
      <c r="J111" s="299"/>
      <c r="K111" s="299"/>
      <c r="L111" s="300"/>
      <c r="M111" s="298"/>
      <c r="N111" s="299"/>
      <c r="O111" s="300"/>
      <c r="P111" s="298"/>
      <c r="Q111" s="299"/>
      <c r="R111" s="300"/>
      <c r="S111" s="298"/>
      <c r="T111" s="299"/>
      <c r="U111" s="300"/>
    </row>
    <row r="112" spans="1:21" x14ac:dyDescent="0.3">
      <c r="A112" s="298"/>
      <c r="B112" s="299"/>
      <c r="C112" s="300"/>
      <c r="D112" s="298"/>
      <c r="E112" s="299"/>
      <c r="F112" s="299"/>
      <c r="G112" s="299"/>
      <c r="H112" s="299"/>
      <c r="I112" s="299"/>
      <c r="J112" s="299"/>
      <c r="K112" s="299"/>
      <c r="L112" s="300"/>
      <c r="M112" s="298"/>
      <c r="N112" s="299"/>
      <c r="O112" s="300"/>
      <c r="P112" s="298"/>
      <c r="Q112" s="299"/>
      <c r="R112" s="300"/>
      <c r="S112" s="298"/>
      <c r="T112" s="299"/>
      <c r="U112" s="300"/>
    </row>
    <row r="113" spans="1:21" x14ac:dyDescent="0.3">
      <c r="A113" s="298"/>
      <c r="B113" s="299"/>
      <c r="C113" s="300"/>
      <c r="D113" s="298"/>
      <c r="E113" s="299"/>
      <c r="F113" s="299"/>
      <c r="G113" s="299"/>
      <c r="H113" s="299"/>
      <c r="I113" s="299"/>
      <c r="J113" s="299"/>
      <c r="K113" s="299"/>
      <c r="L113" s="300"/>
      <c r="M113" s="298"/>
      <c r="N113" s="299"/>
      <c r="O113" s="300"/>
      <c r="P113" s="298"/>
      <c r="Q113" s="299"/>
      <c r="R113" s="300"/>
      <c r="S113" s="298"/>
      <c r="T113" s="299"/>
      <c r="U113" s="300"/>
    </row>
    <row r="114" spans="1:21" x14ac:dyDescent="0.3">
      <c r="A114" s="298"/>
      <c r="B114" s="299"/>
      <c r="C114" s="300"/>
      <c r="D114" s="298"/>
      <c r="E114" s="299"/>
      <c r="F114" s="299"/>
      <c r="G114" s="299"/>
      <c r="H114" s="299"/>
      <c r="I114" s="299"/>
      <c r="J114" s="299"/>
      <c r="K114" s="299"/>
      <c r="L114" s="300"/>
      <c r="M114" s="298"/>
      <c r="N114" s="299"/>
      <c r="O114" s="300"/>
      <c r="P114" s="298"/>
      <c r="Q114" s="299"/>
      <c r="R114" s="300"/>
      <c r="S114" s="298"/>
      <c r="T114" s="299"/>
      <c r="U114" s="300"/>
    </row>
    <row r="115" spans="1:21" x14ac:dyDescent="0.3">
      <c r="A115" s="298"/>
      <c r="B115" s="299"/>
      <c r="C115" s="300"/>
      <c r="D115" s="298"/>
      <c r="E115" s="299"/>
      <c r="F115" s="299"/>
      <c r="G115" s="299"/>
      <c r="H115" s="299"/>
      <c r="I115" s="299"/>
      <c r="J115" s="299"/>
      <c r="K115" s="299"/>
      <c r="L115" s="300"/>
      <c r="M115" s="298"/>
      <c r="N115" s="299"/>
      <c r="O115" s="300"/>
      <c r="P115" s="298"/>
      <c r="Q115" s="299"/>
      <c r="R115" s="300"/>
      <c r="S115" s="298"/>
      <c r="T115" s="299"/>
      <c r="U115" s="300"/>
    </row>
    <row r="116" spans="1:21" x14ac:dyDescent="0.3">
      <c r="A116" s="298"/>
      <c r="B116" s="299"/>
      <c r="C116" s="300"/>
      <c r="D116" s="298"/>
      <c r="E116" s="299"/>
      <c r="F116" s="299"/>
      <c r="G116" s="299"/>
      <c r="H116" s="299"/>
      <c r="I116" s="299"/>
      <c r="J116" s="299"/>
      <c r="K116" s="299"/>
      <c r="L116" s="300"/>
      <c r="M116" s="298"/>
      <c r="N116" s="299"/>
      <c r="O116" s="300"/>
      <c r="P116" s="298"/>
      <c r="Q116" s="299"/>
      <c r="R116" s="300"/>
      <c r="S116" s="298"/>
      <c r="T116" s="299"/>
      <c r="U116" s="300"/>
    </row>
    <row r="117" spans="1:21" x14ac:dyDescent="0.3">
      <c r="A117" s="298"/>
      <c r="B117" s="299"/>
      <c r="C117" s="300"/>
      <c r="D117" s="298"/>
      <c r="E117" s="299"/>
      <c r="F117" s="299"/>
      <c r="G117" s="299"/>
      <c r="H117" s="299"/>
      <c r="I117" s="299"/>
      <c r="J117" s="299"/>
      <c r="K117" s="299"/>
      <c r="L117" s="300"/>
      <c r="M117" s="298"/>
      <c r="N117" s="299"/>
      <c r="O117" s="300"/>
      <c r="P117" s="298"/>
      <c r="Q117" s="299"/>
      <c r="R117" s="300"/>
      <c r="S117" s="298"/>
      <c r="T117" s="299"/>
      <c r="U117" s="300"/>
    </row>
    <row r="118" spans="1:21" x14ac:dyDescent="0.3">
      <c r="A118" s="298"/>
      <c r="B118" s="299"/>
      <c r="C118" s="300"/>
      <c r="D118" s="298"/>
      <c r="E118" s="299"/>
      <c r="F118" s="299"/>
      <c r="G118" s="299"/>
      <c r="H118" s="299"/>
      <c r="I118" s="299"/>
      <c r="J118" s="299"/>
      <c r="K118" s="299"/>
      <c r="L118" s="300"/>
      <c r="M118" s="298"/>
      <c r="N118" s="299"/>
      <c r="O118" s="300"/>
      <c r="P118" s="298"/>
      <c r="Q118" s="299"/>
      <c r="R118" s="300"/>
      <c r="S118" s="298"/>
      <c r="T118" s="299"/>
      <c r="U118" s="300"/>
    </row>
    <row r="119" spans="1:21" x14ac:dyDescent="0.3">
      <c r="A119" s="298"/>
      <c r="B119" s="299"/>
      <c r="C119" s="300"/>
      <c r="D119" s="298"/>
      <c r="E119" s="299"/>
      <c r="F119" s="299"/>
      <c r="G119" s="299"/>
      <c r="H119" s="299"/>
      <c r="I119" s="299"/>
      <c r="J119" s="299"/>
      <c r="K119" s="299"/>
      <c r="L119" s="300"/>
      <c r="M119" s="298"/>
      <c r="N119" s="299"/>
      <c r="O119" s="300"/>
      <c r="P119" s="298"/>
      <c r="Q119" s="299"/>
      <c r="R119" s="300"/>
      <c r="S119" s="298"/>
      <c r="T119" s="299"/>
      <c r="U119" s="300"/>
    </row>
    <row r="120" spans="1:21" x14ac:dyDescent="0.3">
      <c r="A120" s="298"/>
      <c r="B120" s="299"/>
      <c r="C120" s="300"/>
      <c r="D120" s="298"/>
      <c r="E120" s="299"/>
      <c r="F120" s="299"/>
      <c r="G120" s="299"/>
      <c r="H120" s="299"/>
      <c r="I120" s="299"/>
      <c r="J120" s="299"/>
      <c r="K120" s="299"/>
      <c r="L120" s="300"/>
      <c r="M120" s="298"/>
      <c r="N120" s="299"/>
      <c r="O120" s="300"/>
      <c r="P120" s="298"/>
      <c r="Q120" s="299"/>
      <c r="R120" s="300"/>
      <c r="S120" s="298"/>
      <c r="T120" s="299"/>
      <c r="U120" s="300"/>
    </row>
    <row r="121" spans="1:21" x14ac:dyDescent="0.3">
      <c r="A121" s="298"/>
      <c r="B121" s="299"/>
      <c r="C121" s="300"/>
      <c r="D121" s="298"/>
      <c r="E121" s="299"/>
      <c r="F121" s="299"/>
      <c r="G121" s="299"/>
      <c r="H121" s="299"/>
      <c r="I121" s="299"/>
      <c r="J121" s="299"/>
      <c r="K121" s="299"/>
      <c r="L121" s="300"/>
      <c r="M121" s="298"/>
      <c r="N121" s="299"/>
      <c r="O121" s="300"/>
      <c r="P121" s="298"/>
      <c r="Q121" s="299"/>
      <c r="R121" s="300"/>
      <c r="S121" s="298"/>
      <c r="T121" s="299"/>
      <c r="U121" s="300"/>
    </row>
    <row r="122" spans="1:21" x14ac:dyDescent="0.3">
      <c r="A122" s="298"/>
      <c r="B122" s="299"/>
      <c r="C122" s="300"/>
      <c r="D122" s="298"/>
      <c r="E122" s="299"/>
      <c r="F122" s="299"/>
      <c r="G122" s="299"/>
      <c r="H122" s="299"/>
      <c r="I122" s="299"/>
      <c r="J122" s="299"/>
      <c r="K122" s="299"/>
      <c r="L122" s="300"/>
      <c r="M122" s="298"/>
      <c r="N122" s="299"/>
      <c r="O122" s="300"/>
      <c r="P122" s="298"/>
      <c r="Q122" s="299"/>
      <c r="R122" s="300"/>
      <c r="S122" s="298"/>
      <c r="T122" s="299"/>
      <c r="U122" s="300"/>
    </row>
    <row r="123" spans="1:21" x14ac:dyDescent="0.3">
      <c r="A123" s="298"/>
      <c r="B123" s="299"/>
      <c r="C123" s="300"/>
      <c r="D123" s="298"/>
      <c r="E123" s="299"/>
      <c r="F123" s="299"/>
      <c r="G123" s="299"/>
      <c r="H123" s="299"/>
      <c r="I123" s="299"/>
      <c r="J123" s="299"/>
      <c r="K123" s="299"/>
      <c r="L123" s="300"/>
      <c r="M123" s="298"/>
      <c r="N123" s="299"/>
      <c r="O123" s="300"/>
      <c r="P123" s="298"/>
      <c r="Q123" s="299"/>
      <c r="R123" s="300"/>
      <c r="S123" s="298"/>
      <c r="T123" s="299"/>
      <c r="U123" s="300"/>
    </row>
    <row r="124" spans="1:21" x14ac:dyDescent="0.3">
      <c r="A124" s="298"/>
      <c r="B124" s="299"/>
      <c r="C124" s="300"/>
      <c r="D124" s="298"/>
      <c r="E124" s="299"/>
      <c r="F124" s="299"/>
      <c r="G124" s="299"/>
      <c r="H124" s="299"/>
      <c r="I124" s="299"/>
      <c r="J124" s="299"/>
      <c r="K124" s="299"/>
      <c r="L124" s="300"/>
      <c r="M124" s="298"/>
      <c r="N124" s="299"/>
      <c r="O124" s="300"/>
      <c r="P124" s="298"/>
      <c r="Q124" s="299"/>
      <c r="R124" s="300"/>
      <c r="S124" s="298"/>
      <c r="T124" s="299"/>
      <c r="U124" s="300"/>
    </row>
    <row r="125" spans="1:21" ht="15.6" x14ac:dyDescent="0.3">
      <c r="A125" s="69" t="s">
        <v>79</v>
      </c>
      <c r="B125" s="70"/>
      <c r="C125" s="71"/>
      <c r="D125" s="72"/>
      <c r="E125" s="70"/>
      <c r="F125" s="73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4"/>
    </row>
    <row r="126" spans="1:21" ht="15.6" x14ac:dyDescent="0.3">
      <c r="A126" s="76" t="s">
        <v>80</v>
      </c>
      <c r="B126" s="76" t="s">
        <v>81</v>
      </c>
      <c r="C126" s="77" t="s">
        <v>82</v>
      </c>
      <c r="D126" s="78"/>
      <c r="E126" s="79"/>
      <c r="F126" s="78" t="s">
        <v>83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7"/>
    </row>
    <row r="127" spans="1:21" x14ac:dyDescent="0.3">
      <c r="A127" s="80"/>
      <c r="B127" s="81"/>
      <c r="C127" s="82"/>
      <c r="D127" s="82"/>
      <c r="E127" s="82"/>
      <c r="F127" s="83" t="s">
        <v>84</v>
      </c>
      <c r="G127" s="252"/>
      <c r="H127" s="252"/>
      <c r="I127" s="252"/>
      <c r="J127" s="252"/>
      <c r="K127" s="252"/>
      <c r="L127" s="252"/>
      <c r="M127" s="252"/>
      <c r="N127" s="252"/>
      <c r="O127" s="252"/>
      <c r="P127" s="252"/>
      <c r="Q127" s="252"/>
      <c r="R127" s="252"/>
      <c r="S127" s="252"/>
      <c r="T127" s="252"/>
      <c r="U127" s="253"/>
    </row>
    <row r="128" spans="1:21" ht="15.6" x14ac:dyDescent="0.3">
      <c r="A128" s="84"/>
      <c r="B128" s="85"/>
      <c r="C128" s="86"/>
      <c r="D128" s="87" t="s">
        <v>85</v>
      </c>
      <c r="E128" s="85"/>
      <c r="F128" s="87" t="s">
        <v>86</v>
      </c>
      <c r="G128" s="88" t="s">
        <v>87</v>
      </c>
      <c r="H128" s="88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67"/>
    </row>
    <row r="129" spans="1:21" ht="15.6" x14ac:dyDescent="0.3">
      <c r="A129" s="84"/>
      <c r="B129" s="85"/>
      <c r="C129" s="86"/>
      <c r="D129" s="87" t="s">
        <v>88</v>
      </c>
      <c r="E129" s="85"/>
      <c r="F129" s="87" t="s">
        <v>89</v>
      </c>
      <c r="G129" s="88" t="s">
        <v>90</v>
      </c>
      <c r="H129" s="88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67"/>
    </row>
    <row r="130" spans="1:21" ht="15.6" x14ac:dyDescent="0.3">
      <c r="A130" s="84"/>
      <c r="B130" s="85"/>
      <c r="C130" s="86"/>
      <c r="D130" s="87" t="s">
        <v>91</v>
      </c>
      <c r="E130" s="85"/>
      <c r="F130" s="87" t="s">
        <v>92</v>
      </c>
      <c r="G130" s="88" t="s">
        <v>93</v>
      </c>
      <c r="H130" s="88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67"/>
    </row>
    <row r="131" spans="1:21" ht="15.6" x14ac:dyDescent="0.3">
      <c r="A131" s="84"/>
      <c r="B131" s="85"/>
      <c r="C131" s="86"/>
      <c r="D131" s="90">
        <v>1.4</v>
      </c>
      <c r="E131" s="86"/>
      <c r="F131" s="87" t="s">
        <v>94</v>
      </c>
      <c r="G131" s="91" t="s">
        <v>95</v>
      </c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67"/>
    </row>
    <row r="132" spans="1:21" ht="15.6" x14ac:dyDescent="0.3">
      <c r="A132" s="84"/>
      <c r="B132" s="85"/>
      <c r="C132" s="86"/>
      <c r="D132" s="87" t="s">
        <v>96</v>
      </c>
      <c r="E132" s="85"/>
      <c r="F132" s="87" t="s">
        <v>97</v>
      </c>
      <c r="G132" s="88" t="s">
        <v>98</v>
      </c>
      <c r="H132" s="88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67"/>
    </row>
    <row r="133" spans="1:21" ht="15.6" x14ac:dyDescent="0.3">
      <c r="A133" s="84"/>
      <c r="B133" s="85"/>
      <c r="C133" s="86"/>
      <c r="D133" s="87" t="s">
        <v>99</v>
      </c>
      <c r="E133" s="85"/>
      <c r="F133" s="87" t="s">
        <v>100</v>
      </c>
      <c r="G133" s="88" t="s">
        <v>101</v>
      </c>
      <c r="H133" s="88"/>
      <c r="I133" s="89"/>
      <c r="J133" s="89"/>
      <c r="K133" s="89"/>
      <c r="L133" s="89"/>
      <c r="M133" s="89"/>
      <c r="N133" s="89"/>
      <c r="O133" s="89"/>
      <c r="P133" s="75"/>
      <c r="Q133" s="89"/>
      <c r="R133" s="89"/>
      <c r="S133" s="89"/>
      <c r="T133" s="25">
        <f>IF([1]Introduction_données!G26="Madrid",1800,2100)</f>
        <v>2100</v>
      </c>
      <c r="U133" s="67" t="s">
        <v>102</v>
      </c>
    </row>
    <row r="134" spans="1:21" ht="15.6" x14ac:dyDescent="0.3">
      <c r="A134" s="76"/>
      <c r="B134" s="92"/>
      <c r="C134" s="93"/>
      <c r="D134" s="94" t="s">
        <v>103</v>
      </c>
      <c r="E134" s="92"/>
      <c r="F134" s="94" t="s">
        <v>104</v>
      </c>
      <c r="G134" s="95" t="s">
        <v>105</v>
      </c>
      <c r="H134" s="9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7"/>
    </row>
    <row r="135" spans="1:21" ht="15.6" x14ac:dyDescent="0.3">
      <c r="A135" s="96"/>
      <c r="B135" s="97"/>
      <c r="C135" s="55"/>
      <c r="D135" s="98"/>
      <c r="E135" s="97"/>
      <c r="F135" s="98"/>
      <c r="G135" s="99" t="s">
        <v>106</v>
      </c>
      <c r="H135" s="99"/>
      <c r="I135" s="252"/>
      <c r="J135" s="252"/>
      <c r="K135" s="252"/>
      <c r="L135" s="252"/>
      <c r="M135" s="252"/>
      <c r="N135" s="252"/>
      <c r="O135" s="252"/>
      <c r="P135" s="252"/>
      <c r="Q135" s="252"/>
      <c r="R135" s="252"/>
      <c r="S135" s="252"/>
      <c r="T135" s="252"/>
      <c r="U135" s="253"/>
    </row>
    <row r="136" spans="1:21" ht="15.6" x14ac:dyDescent="0.3">
      <c r="A136" s="76"/>
      <c r="B136" s="92"/>
      <c r="C136" s="93"/>
      <c r="D136" s="100">
        <v>1.8</v>
      </c>
      <c r="E136" s="93"/>
      <c r="F136" s="94" t="s">
        <v>94</v>
      </c>
      <c r="G136" s="101" t="s">
        <v>107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7"/>
    </row>
    <row r="137" spans="1:21" ht="15.6" x14ac:dyDescent="0.3">
      <c r="A137" s="96"/>
      <c r="B137" s="55"/>
      <c r="C137" s="97"/>
      <c r="D137" s="102"/>
      <c r="E137" s="55"/>
      <c r="F137" s="98"/>
      <c r="G137" s="103" t="s">
        <v>108</v>
      </c>
      <c r="H137" s="252"/>
      <c r="I137" s="252"/>
      <c r="J137" s="252"/>
      <c r="K137" s="252"/>
      <c r="L137" s="252"/>
      <c r="M137" s="252"/>
      <c r="N137" s="252"/>
      <c r="O137" s="252"/>
      <c r="P137" s="252"/>
      <c r="Q137" s="252"/>
      <c r="R137" s="252"/>
      <c r="S137" s="252"/>
      <c r="T137" s="252"/>
      <c r="U137" s="253"/>
    </row>
    <row r="138" spans="1:21" ht="15.6" x14ac:dyDescent="0.3">
      <c r="A138" s="306"/>
      <c r="B138" s="307"/>
      <c r="C138" s="307"/>
      <c r="D138" s="307"/>
      <c r="E138" s="307"/>
      <c r="F138" s="307"/>
      <c r="G138" s="307"/>
      <c r="H138" s="307"/>
      <c r="I138" s="307"/>
      <c r="J138" s="307"/>
      <c r="K138" s="307"/>
      <c r="L138" s="307"/>
      <c r="M138" s="307"/>
      <c r="N138" s="307"/>
      <c r="O138" s="307"/>
      <c r="P138" s="307"/>
      <c r="Q138" s="307"/>
      <c r="R138" s="307"/>
      <c r="S138" s="307"/>
      <c r="T138" s="307"/>
      <c r="U138" s="308"/>
    </row>
    <row r="139" spans="1:21" x14ac:dyDescent="0.3">
      <c r="A139" s="316"/>
      <c r="B139" s="317"/>
      <c r="C139" s="317"/>
      <c r="D139" s="317"/>
      <c r="E139" s="317"/>
      <c r="F139" s="317"/>
      <c r="G139" s="317"/>
      <c r="H139" s="317"/>
      <c r="I139" s="320" t="s">
        <v>109</v>
      </c>
      <c r="J139" s="321"/>
      <c r="K139" s="321"/>
      <c r="L139" s="322"/>
      <c r="M139" s="323" t="s">
        <v>110</v>
      </c>
      <c r="N139" s="324"/>
      <c r="O139" s="325"/>
      <c r="P139" s="323" t="s">
        <v>111</v>
      </c>
      <c r="Q139" s="324"/>
      <c r="R139" s="325"/>
      <c r="S139" s="104"/>
      <c r="T139" s="312" t="s">
        <v>112</v>
      </c>
      <c r="U139" s="313"/>
    </row>
    <row r="140" spans="1:21" x14ac:dyDescent="0.3">
      <c r="A140" s="318"/>
      <c r="B140" s="319"/>
      <c r="C140" s="319"/>
      <c r="D140" s="319"/>
      <c r="E140" s="319"/>
      <c r="F140" s="319"/>
      <c r="G140" s="319"/>
      <c r="H140" s="319"/>
      <c r="I140" s="326" t="s">
        <v>113</v>
      </c>
      <c r="J140" s="327"/>
      <c r="K140" s="327"/>
      <c r="L140" s="328"/>
      <c r="M140" s="332" t="s">
        <v>114</v>
      </c>
      <c r="N140" s="333"/>
      <c r="O140" s="334"/>
      <c r="P140" s="332" t="s">
        <v>115</v>
      </c>
      <c r="Q140" s="333"/>
      <c r="R140" s="334"/>
      <c r="S140" s="105"/>
      <c r="T140" s="106"/>
      <c r="U140" s="107" t="s">
        <v>116</v>
      </c>
    </row>
    <row r="141" spans="1:21" x14ac:dyDescent="0.3">
      <c r="A141" s="318"/>
      <c r="B141" s="319"/>
      <c r="C141" s="319"/>
      <c r="D141" s="319"/>
      <c r="E141" s="319"/>
      <c r="F141" s="319"/>
      <c r="G141" s="319"/>
      <c r="H141" s="319"/>
      <c r="I141" s="329"/>
      <c r="J141" s="330"/>
      <c r="K141" s="330"/>
      <c r="L141" s="331"/>
      <c r="M141" s="335"/>
      <c r="N141" s="336"/>
      <c r="O141" s="337"/>
      <c r="P141" s="335"/>
      <c r="Q141" s="336"/>
      <c r="R141" s="337"/>
      <c r="S141" s="108"/>
      <c r="T141" s="338" t="s">
        <v>117</v>
      </c>
      <c r="U141" s="339"/>
    </row>
    <row r="142" spans="1:21" x14ac:dyDescent="0.3">
      <c r="A142" s="348" t="s">
        <v>118</v>
      </c>
      <c r="B142" s="349"/>
      <c r="C142" s="349"/>
      <c r="D142" s="349"/>
      <c r="E142" s="349"/>
      <c r="F142" s="349"/>
      <c r="G142" s="349"/>
      <c r="H142" s="349"/>
      <c r="I142" s="61"/>
      <c r="J142" s="6"/>
      <c r="L142" s="7"/>
      <c r="M142" s="61"/>
      <c r="N142" s="6"/>
      <c r="O142" s="7"/>
      <c r="P142" s="61"/>
      <c r="Q142" s="6"/>
      <c r="R142" s="7"/>
      <c r="S142" s="109"/>
      <c r="T142" s="109"/>
      <c r="U142" s="110"/>
    </row>
    <row r="143" spans="1:21" ht="15" thickBot="1" x14ac:dyDescent="0.35">
      <c r="A143" s="348"/>
      <c r="B143" s="349"/>
      <c r="C143" s="349"/>
      <c r="D143" s="349"/>
      <c r="E143" s="349"/>
      <c r="F143" s="349"/>
      <c r="G143" s="349"/>
      <c r="H143" s="349"/>
      <c r="I143" s="20"/>
      <c r="J143" s="252"/>
      <c r="K143" s="252"/>
      <c r="L143" s="253" t="s">
        <v>116</v>
      </c>
      <c r="M143" s="20"/>
      <c r="N143" s="252"/>
      <c r="O143" s="253" t="s">
        <v>116</v>
      </c>
      <c r="P143" s="20"/>
      <c r="Q143" s="252"/>
      <c r="R143" s="253" t="s">
        <v>116</v>
      </c>
      <c r="S143" s="111"/>
      <c r="T143" s="109"/>
      <c r="U143" s="110"/>
    </row>
    <row r="144" spans="1:21" x14ac:dyDescent="0.3">
      <c r="A144" s="350" t="s">
        <v>119</v>
      </c>
      <c r="B144" s="351"/>
      <c r="C144" s="351"/>
      <c r="D144" s="351"/>
      <c r="E144" s="351"/>
      <c r="F144" s="352" t="s">
        <v>120</v>
      </c>
      <c r="G144" s="352"/>
      <c r="H144" s="352"/>
      <c r="I144" s="29"/>
      <c r="L144" s="251"/>
      <c r="M144" s="29"/>
      <c r="O144" s="251"/>
      <c r="P144" s="29"/>
      <c r="R144" s="251"/>
      <c r="S144" s="309" t="s">
        <v>121</v>
      </c>
      <c r="T144" s="310"/>
      <c r="U144" s="311"/>
    </row>
    <row r="145" spans="1:21" x14ac:dyDescent="0.3">
      <c r="A145" s="350"/>
      <c r="B145" s="351"/>
      <c r="C145" s="351"/>
      <c r="D145" s="351"/>
      <c r="E145" s="351"/>
      <c r="F145" s="352"/>
      <c r="G145" s="352"/>
      <c r="H145" s="352"/>
      <c r="I145" s="29"/>
      <c r="L145" s="251" t="s">
        <v>116</v>
      </c>
      <c r="M145" s="29"/>
      <c r="O145" s="251" t="s">
        <v>116</v>
      </c>
      <c r="P145" s="29"/>
      <c r="R145" s="251" t="s">
        <v>116</v>
      </c>
      <c r="S145" s="75"/>
      <c r="T145" s="75"/>
      <c r="U145" s="113"/>
    </row>
    <row r="146" spans="1:21" x14ac:dyDescent="0.3">
      <c r="A146" s="350"/>
      <c r="B146" s="351"/>
      <c r="C146" s="351"/>
      <c r="D146" s="351"/>
      <c r="E146" s="351"/>
      <c r="F146" s="352"/>
      <c r="G146" s="352"/>
      <c r="H146" s="352"/>
      <c r="I146" s="29"/>
      <c r="L146" s="251"/>
      <c r="M146" s="29"/>
      <c r="O146" s="251"/>
      <c r="P146" s="29"/>
      <c r="R146" s="251"/>
      <c r="S146" s="114"/>
      <c r="T146" s="312" t="s">
        <v>122</v>
      </c>
      <c r="U146" s="313"/>
    </row>
    <row r="147" spans="1:21" x14ac:dyDescent="0.3">
      <c r="A147" s="314" t="s">
        <v>123</v>
      </c>
      <c r="B147" s="315"/>
      <c r="C147" s="315"/>
      <c r="D147" s="315"/>
      <c r="E147" s="315"/>
      <c r="F147" s="315"/>
      <c r="G147" s="315"/>
      <c r="H147" s="315"/>
      <c r="I147" s="115"/>
      <c r="J147" s="89"/>
      <c r="K147" s="89"/>
      <c r="L147" s="67" t="s">
        <v>116</v>
      </c>
      <c r="M147" s="115"/>
      <c r="N147" s="89"/>
      <c r="O147" s="67" t="s">
        <v>116</v>
      </c>
      <c r="P147" s="115"/>
      <c r="Q147" s="89"/>
      <c r="R147" s="67" t="s">
        <v>116</v>
      </c>
      <c r="S147" s="116"/>
      <c r="T147" s="116"/>
      <c r="U147" s="107" t="s">
        <v>116</v>
      </c>
    </row>
    <row r="148" spans="1:21" ht="15" thickBot="1" x14ac:dyDescent="0.35">
      <c r="A148" s="340" t="s">
        <v>124</v>
      </c>
      <c r="B148" s="341"/>
      <c r="C148" s="341"/>
      <c r="D148" s="341"/>
      <c r="E148" s="341"/>
      <c r="F148" s="341"/>
      <c r="G148" s="341"/>
      <c r="H148" s="341"/>
      <c r="I148" s="29"/>
      <c r="K148" s="6"/>
      <c r="L148" s="251" t="s">
        <v>116</v>
      </c>
      <c r="M148" s="29"/>
      <c r="O148" s="251" t="s">
        <v>116</v>
      </c>
      <c r="P148" s="29"/>
      <c r="R148" s="251" t="s">
        <v>116</v>
      </c>
      <c r="S148" s="111"/>
      <c r="T148" s="109"/>
      <c r="U148" s="110"/>
    </row>
    <row r="149" spans="1:21" ht="15" thickBot="1" x14ac:dyDescent="0.35">
      <c r="A149" s="342" t="s">
        <v>125</v>
      </c>
      <c r="B149" s="343"/>
      <c r="C149" s="343"/>
      <c r="D149" s="343"/>
      <c r="E149" s="343"/>
      <c r="F149" s="343"/>
      <c r="G149" s="343"/>
      <c r="H149" s="343"/>
      <c r="I149" s="117"/>
      <c r="J149" s="118"/>
      <c r="K149" s="118"/>
      <c r="L149" s="119" t="s">
        <v>116</v>
      </c>
      <c r="M149" s="117"/>
      <c r="N149" s="118"/>
      <c r="O149" s="119" t="s">
        <v>116</v>
      </c>
      <c r="P149" s="117"/>
      <c r="Q149" s="118"/>
      <c r="R149" s="119" t="s">
        <v>116</v>
      </c>
      <c r="S149" s="75"/>
      <c r="T149" s="75"/>
      <c r="U149" s="120"/>
    </row>
    <row r="150" spans="1:21" x14ac:dyDescent="0.3">
      <c r="A150" s="344" t="s">
        <v>126</v>
      </c>
      <c r="B150" s="345"/>
      <c r="C150" s="345"/>
      <c r="D150" s="345"/>
      <c r="E150" s="345"/>
      <c r="F150" s="345"/>
      <c r="G150" s="345"/>
      <c r="H150" s="345"/>
      <c r="I150" s="346">
        <f>500+35*[1]Introduction_données!G173*[1]Introduction_données!G173</f>
        <v>535</v>
      </c>
      <c r="J150" s="347"/>
      <c r="K150" s="347"/>
      <c r="L150" s="107" t="s">
        <v>116</v>
      </c>
      <c r="M150" s="346">
        <f>100+35*[1]Introduction_données!G173*[1]Introduction_données!G173</f>
        <v>135</v>
      </c>
      <c r="N150" s="347"/>
      <c r="O150" s="107" t="s">
        <v>116</v>
      </c>
      <c r="P150" s="346">
        <f>100+35*[1]Introduction_données!G173*[1]Introduction_données!G173</f>
        <v>135</v>
      </c>
      <c r="Q150" s="347"/>
      <c r="R150" s="107" t="s">
        <v>116</v>
      </c>
      <c r="S150" s="309" t="s">
        <v>121</v>
      </c>
      <c r="T150" s="310"/>
      <c r="U150" s="311"/>
    </row>
    <row r="151" spans="1:21" ht="15.6" x14ac:dyDescent="0.3">
      <c r="A151" s="76"/>
      <c r="B151" s="92"/>
      <c r="C151" s="93"/>
      <c r="D151" s="94" t="s">
        <v>127</v>
      </c>
      <c r="E151" s="92"/>
      <c r="F151" s="94" t="s">
        <v>128</v>
      </c>
      <c r="G151" s="95" t="s">
        <v>129</v>
      </c>
      <c r="H151" s="9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7"/>
    </row>
    <row r="152" spans="1:21" ht="15.6" x14ac:dyDescent="0.3">
      <c r="A152" s="96"/>
      <c r="B152" s="97"/>
      <c r="C152" s="55"/>
      <c r="D152" s="98"/>
      <c r="E152" s="97"/>
      <c r="F152" s="98"/>
      <c r="G152" s="99" t="s">
        <v>130</v>
      </c>
      <c r="H152" s="99"/>
      <c r="I152" s="252"/>
      <c r="J152" s="252"/>
      <c r="K152" s="252"/>
      <c r="L152" s="252"/>
      <c r="M152" s="252"/>
      <c r="N152" s="252"/>
      <c r="O152" s="252"/>
      <c r="P152" s="252"/>
      <c r="Q152" s="252"/>
      <c r="R152" s="252"/>
      <c r="S152" s="252"/>
      <c r="T152" s="252"/>
      <c r="U152" s="253"/>
    </row>
    <row r="153" spans="1:21" ht="15.6" x14ac:dyDescent="0.3">
      <c r="A153" s="76"/>
      <c r="B153" s="92"/>
      <c r="C153" s="93"/>
      <c r="D153" s="94" t="s">
        <v>131</v>
      </c>
      <c r="E153" s="92"/>
      <c r="F153" s="94" t="s">
        <v>132</v>
      </c>
      <c r="G153" s="95" t="s">
        <v>133</v>
      </c>
      <c r="H153" s="9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7"/>
    </row>
    <row r="154" spans="1:21" ht="15.6" x14ac:dyDescent="0.3">
      <c r="A154" s="121"/>
      <c r="B154" s="122"/>
      <c r="C154" s="32"/>
      <c r="D154" s="123"/>
      <c r="E154" s="122"/>
      <c r="F154" s="123"/>
      <c r="G154" s="112" t="s">
        <v>134</v>
      </c>
      <c r="H154" s="112"/>
      <c r="U154" s="251"/>
    </row>
    <row r="155" spans="1:21" ht="15.6" x14ac:dyDescent="0.3">
      <c r="A155" s="76"/>
      <c r="B155" s="92"/>
      <c r="C155" s="93"/>
      <c r="D155" s="94" t="s">
        <v>135</v>
      </c>
      <c r="E155" s="92"/>
      <c r="F155" s="94" t="s">
        <v>136</v>
      </c>
      <c r="G155" s="95" t="s">
        <v>137</v>
      </c>
      <c r="H155" s="9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7"/>
    </row>
    <row r="156" spans="1:21" ht="15.6" x14ac:dyDescent="0.3">
      <c r="A156" s="96"/>
      <c r="B156" s="97"/>
      <c r="C156" s="55"/>
      <c r="D156" s="98"/>
      <c r="E156" s="97"/>
      <c r="F156" s="98"/>
      <c r="G156" s="99"/>
      <c r="H156" s="99"/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  <c r="S156" s="252"/>
      <c r="T156" s="252"/>
      <c r="U156" s="253"/>
    </row>
    <row r="157" spans="1:21" ht="15.6" x14ac:dyDescent="0.3">
      <c r="A157" s="84"/>
      <c r="B157" s="85"/>
      <c r="C157" s="86"/>
      <c r="D157" s="90">
        <v>1.1200000000000001</v>
      </c>
      <c r="E157" s="86"/>
      <c r="F157" s="87" t="s">
        <v>138</v>
      </c>
      <c r="G157" s="91" t="s">
        <v>139</v>
      </c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67"/>
    </row>
    <row r="158" spans="1:21" ht="15.6" x14ac:dyDescent="0.3">
      <c r="A158" s="84"/>
      <c r="B158" s="85"/>
      <c r="C158" s="86"/>
      <c r="D158" s="87" t="s">
        <v>140</v>
      </c>
      <c r="E158" s="85"/>
      <c r="F158" s="87" t="s">
        <v>141</v>
      </c>
      <c r="G158" s="88" t="s">
        <v>142</v>
      </c>
      <c r="H158" s="88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67"/>
    </row>
    <row r="159" spans="1:21" ht="15.6" x14ac:dyDescent="0.3">
      <c r="A159" s="76"/>
      <c r="B159" s="92"/>
      <c r="C159" s="93"/>
      <c r="D159" s="94" t="s">
        <v>143</v>
      </c>
      <c r="E159" s="92"/>
      <c r="F159" s="94" t="s">
        <v>144</v>
      </c>
      <c r="G159" s="95" t="s">
        <v>145</v>
      </c>
      <c r="H159" s="9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7"/>
    </row>
    <row r="160" spans="1:21" ht="16.2" thickBot="1" x14ac:dyDescent="0.35">
      <c r="A160" s="96"/>
      <c r="B160" s="97"/>
      <c r="C160" s="55"/>
      <c r="D160" s="98"/>
      <c r="E160" s="97"/>
      <c r="F160" s="98"/>
      <c r="G160" s="124" t="s">
        <v>146</v>
      </c>
      <c r="H160" s="99"/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  <c r="S160" s="252"/>
      <c r="T160" s="252"/>
      <c r="U160" s="253"/>
    </row>
    <row r="161" spans="1:21" ht="16.2" thickBot="1" x14ac:dyDescent="0.35">
      <c r="A161" s="76"/>
      <c r="B161" s="93"/>
      <c r="C161" s="92"/>
      <c r="D161" s="125" t="s">
        <v>147</v>
      </c>
      <c r="E161" s="93"/>
      <c r="F161" s="94" t="s">
        <v>148</v>
      </c>
      <c r="G161" s="126" t="s">
        <v>149</v>
      </c>
      <c r="H161" s="95"/>
      <c r="I161" s="6"/>
      <c r="J161" s="6"/>
      <c r="K161" s="6"/>
      <c r="L161" s="6"/>
      <c r="M161" s="6"/>
      <c r="N161" s="6"/>
      <c r="O161" s="6"/>
      <c r="P161" s="6"/>
      <c r="Q161" s="6"/>
      <c r="R161" s="127"/>
      <c r="S161" s="128"/>
      <c r="T161" s="129"/>
      <c r="U161" s="130" t="s">
        <v>116</v>
      </c>
    </row>
    <row r="162" spans="1:21" ht="16.2" thickBot="1" x14ac:dyDescent="0.35">
      <c r="A162" s="96"/>
      <c r="B162" s="55"/>
      <c r="C162" s="97"/>
      <c r="D162" s="131"/>
      <c r="E162" s="55"/>
      <c r="F162" s="98"/>
      <c r="G162" s="132" t="s">
        <v>150</v>
      </c>
      <c r="H162" s="99"/>
      <c r="I162" s="252"/>
      <c r="J162" s="252"/>
      <c r="K162" s="252"/>
      <c r="L162" s="252"/>
      <c r="M162" s="252"/>
      <c r="N162" s="252"/>
      <c r="O162" s="252"/>
      <c r="P162" s="252"/>
      <c r="Q162" s="252"/>
      <c r="R162" s="133"/>
      <c r="S162" s="134"/>
      <c r="T162" s="129"/>
      <c r="U162" s="135" t="s">
        <v>116</v>
      </c>
    </row>
    <row r="163" spans="1:21" ht="15.6" x14ac:dyDescent="0.3">
      <c r="A163" s="76" t="s">
        <v>80</v>
      </c>
      <c r="B163" s="76" t="s">
        <v>81</v>
      </c>
      <c r="C163" s="77" t="s">
        <v>82</v>
      </c>
      <c r="D163" s="136"/>
      <c r="E163" s="79"/>
      <c r="F163" s="78" t="s">
        <v>83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7"/>
    </row>
    <row r="164" spans="1:21" x14ac:dyDescent="0.3">
      <c r="A164" s="80"/>
      <c r="B164" s="81"/>
      <c r="C164" s="82"/>
      <c r="D164" s="137"/>
      <c r="E164" s="82"/>
      <c r="F164" s="83" t="s">
        <v>84</v>
      </c>
      <c r="G164" s="252"/>
      <c r="H164" s="252"/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  <c r="S164" s="252"/>
      <c r="T164" s="252"/>
      <c r="U164" s="253"/>
    </row>
    <row r="165" spans="1:21" ht="15.6" x14ac:dyDescent="0.3">
      <c r="A165" s="76"/>
      <c r="B165" s="93"/>
      <c r="C165" s="92"/>
      <c r="D165" s="136">
        <v>1.1599999999999999</v>
      </c>
      <c r="E165" s="92"/>
      <c r="F165" s="94" t="s">
        <v>151</v>
      </c>
      <c r="G165" s="138" t="s">
        <v>152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139"/>
      <c r="S165" s="139"/>
      <c r="T165" s="140"/>
      <c r="U165" s="141"/>
    </row>
    <row r="166" spans="1:21" ht="15.6" x14ac:dyDescent="0.3">
      <c r="A166" s="96"/>
      <c r="B166" s="55"/>
      <c r="C166" s="97"/>
      <c r="D166" s="82"/>
      <c r="E166" s="97"/>
      <c r="F166" s="98"/>
      <c r="G166" s="142" t="s">
        <v>153</v>
      </c>
      <c r="H166" s="252"/>
      <c r="I166" s="252"/>
      <c r="J166" s="252"/>
      <c r="K166" s="252"/>
      <c r="L166" s="252"/>
      <c r="M166" s="252"/>
      <c r="N166" s="252"/>
      <c r="O166" s="252"/>
      <c r="P166" s="252"/>
      <c r="Q166" s="252"/>
      <c r="R166" s="143"/>
      <c r="S166" s="143"/>
      <c r="T166" s="143"/>
      <c r="U166" s="144"/>
    </row>
    <row r="167" spans="1:21" ht="15.6" x14ac:dyDescent="0.3">
      <c r="A167" s="306"/>
      <c r="B167" s="307"/>
      <c r="C167" s="307"/>
      <c r="D167" s="307"/>
      <c r="E167" s="307"/>
      <c r="F167" s="307"/>
      <c r="G167" s="307"/>
      <c r="H167" s="307"/>
      <c r="I167" s="307"/>
      <c r="J167" s="307"/>
      <c r="K167" s="307"/>
      <c r="L167" s="307"/>
      <c r="M167" s="307"/>
      <c r="N167" s="307"/>
      <c r="O167" s="307"/>
      <c r="P167" s="307"/>
      <c r="Q167" s="307"/>
      <c r="R167" s="307"/>
      <c r="S167" s="307"/>
      <c r="T167" s="307"/>
      <c r="U167" s="308"/>
    </row>
    <row r="168" spans="1:21" ht="16.2" thickBot="1" x14ac:dyDescent="0.35">
      <c r="A168" s="84"/>
      <c r="B168" s="86"/>
      <c r="C168" s="85"/>
      <c r="D168" s="85" t="s">
        <v>154</v>
      </c>
      <c r="E168" s="145" t="s">
        <v>155</v>
      </c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6"/>
      <c r="S168" s="146"/>
      <c r="T168" s="147"/>
      <c r="U168" s="67" t="s">
        <v>116</v>
      </c>
    </row>
    <row r="169" spans="1:21" ht="16.2" thickBot="1" x14ac:dyDescent="0.35">
      <c r="A169" s="121"/>
      <c r="B169" s="32"/>
      <c r="C169" s="122"/>
      <c r="D169" s="85" t="s">
        <v>156</v>
      </c>
      <c r="E169" s="148" t="s">
        <v>157</v>
      </c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149"/>
      <c r="S169" s="134"/>
      <c r="T169" s="129"/>
      <c r="U169" s="67" t="s">
        <v>116</v>
      </c>
    </row>
    <row r="170" spans="1:21" ht="15.6" x14ac:dyDescent="0.3">
      <c r="A170" s="96"/>
      <c r="B170" s="54"/>
      <c r="C170" s="97"/>
      <c r="D170" s="85" t="s">
        <v>158</v>
      </c>
      <c r="E170" s="142" t="s">
        <v>159</v>
      </c>
      <c r="F170" s="89"/>
      <c r="G170" s="89"/>
      <c r="H170" s="150"/>
      <c r="I170" s="89"/>
      <c r="J170" s="252"/>
      <c r="K170" s="252"/>
      <c r="L170" s="252"/>
      <c r="M170" s="252"/>
      <c r="N170" s="252"/>
      <c r="O170" s="252"/>
      <c r="P170" s="252"/>
      <c r="Q170" s="252"/>
      <c r="R170" s="149"/>
      <c r="S170" s="151"/>
      <c r="T170" s="152"/>
      <c r="U170" s="67" t="s">
        <v>116</v>
      </c>
    </row>
    <row r="171" spans="1:21" ht="15.6" x14ac:dyDescent="0.3">
      <c r="A171" s="121"/>
      <c r="B171" s="122"/>
      <c r="C171" s="32"/>
      <c r="D171" s="123" t="s">
        <v>160</v>
      </c>
      <c r="E171" s="122"/>
      <c r="F171" s="123" t="s">
        <v>151</v>
      </c>
      <c r="G171" s="112" t="s">
        <v>161</v>
      </c>
      <c r="H171" s="112"/>
      <c r="U171" s="251"/>
    </row>
    <row r="172" spans="1:21" ht="15.6" x14ac:dyDescent="0.3">
      <c r="A172" s="121"/>
      <c r="B172" s="122"/>
      <c r="C172" s="32"/>
      <c r="D172" s="123"/>
      <c r="E172" s="122"/>
      <c r="F172" s="123"/>
      <c r="G172" s="112"/>
      <c r="H172" s="112"/>
      <c r="U172" s="251"/>
    </row>
    <row r="173" spans="1:21" ht="15.6" x14ac:dyDescent="0.3">
      <c r="A173" s="76"/>
      <c r="B173" s="92"/>
      <c r="C173" s="93"/>
      <c r="D173" s="94" t="s">
        <v>162</v>
      </c>
      <c r="E173" s="92"/>
      <c r="F173" s="153" t="s">
        <v>151</v>
      </c>
      <c r="G173" s="6" t="s">
        <v>163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7"/>
    </row>
    <row r="174" spans="1:21" ht="15.6" x14ac:dyDescent="0.3">
      <c r="A174" s="96"/>
      <c r="B174" s="97"/>
      <c r="C174" s="55"/>
      <c r="D174" s="98"/>
      <c r="E174" s="97"/>
      <c r="F174" s="81"/>
      <c r="G174" s="252" t="s">
        <v>164</v>
      </c>
      <c r="H174" s="252"/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  <c r="S174" s="252"/>
      <c r="T174" s="252"/>
      <c r="U174" s="253"/>
    </row>
    <row r="175" spans="1:21" ht="15.6" x14ac:dyDescent="0.3">
      <c r="A175" s="84"/>
      <c r="B175" s="85"/>
      <c r="C175" s="86"/>
      <c r="D175" s="87" t="s">
        <v>165</v>
      </c>
      <c r="E175" s="85"/>
      <c r="F175" s="87"/>
      <c r="G175" s="88" t="s">
        <v>166</v>
      </c>
      <c r="H175" s="88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67"/>
    </row>
    <row r="176" spans="1:21" ht="15.6" x14ac:dyDescent="0.3">
      <c r="A176" s="121"/>
      <c r="B176" s="122"/>
      <c r="C176" s="32"/>
      <c r="D176" s="123" t="s">
        <v>167</v>
      </c>
      <c r="E176" s="122"/>
      <c r="F176" s="123" t="s">
        <v>168</v>
      </c>
      <c r="G176" s="88" t="s">
        <v>169</v>
      </c>
      <c r="H176" s="112"/>
      <c r="U176" s="251"/>
    </row>
    <row r="177" spans="1:21" ht="15.6" x14ac:dyDescent="0.3">
      <c r="A177" s="76"/>
      <c r="B177" s="92"/>
      <c r="C177" s="93"/>
      <c r="D177" s="94" t="s">
        <v>170</v>
      </c>
      <c r="E177" s="92"/>
      <c r="F177" s="94"/>
      <c r="G177" s="95" t="s">
        <v>171</v>
      </c>
      <c r="H177" s="9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7"/>
    </row>
    <row r="178" spans="1:21" ht="15.6" x14ac:dyDescent="0.3">
      <c r="A178" s="84"/>
      <c r="B178" s="85"/>
      <c r="C178" s="86"/>
      <c r="D178" s="87" t="s">
        <v>172</v>
      </c>
      <c r="E178" s="85"/>
      <c r="F178" s="87" t="s">
        <v>173</v>
      </c>
      <c r="G178" s="88" t="s">
        <v>174</v>
      </c>
      <c r="H178" s="88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67"/>
    </row>
    <row r="179" spans="1:21" ht="15.6" x14ac:dyDescent="0.3">
      <c r="A179" s="121"/>
      <c r="B179" s="122"/>
      <c r="C179" s="32"/>
      <c r="D179" s="123" t="s">
        <v>175</v>
      </c>
      <c r="E179" s="122"/>
      <c r="F179" s="123" t="s">
        <v>173</v>
      </c>
      <c r="G179" s="112" t="s">
        <v>176</v>
      </c>
      <c r="H179" s="112"/>
      <c r="U179" s="251"/>
    </row>
    <row r="180" spans="1:21" ht="15.6" x14ac:dyDescent="0.3">
      <c r="A180" s="84"/>
      <c r="B180" s="85"/>
      <c r="C180" s="86"/>
      <c r="D180" s="87" t="s">
        <v>177</v>
      </c>
      <c r="E180" s="85"/>
      <c r="F180" s="87" t="s">
        <v>178</v>
      </c>
      <c r="G180" s="88" t="s">
        <v>179</v>
      </c>
      <c r="H180" s="88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67"/>
    </row>
    <row r="181" spans="1:21" ht="15.6" x14ac:dyDescent="0.3">
      <c r="A181" s="84"/>
      <c r="B181" s="85"/>
      <c r="C181" s="86"/>
      <c r="D181" s="87" t="s">
        <v>180</v>
      </c>
      <c r="E181" s="85"/>
      <c r="F181" s="87" t="s">
        <v>181</v>
      </c>
      <c r="G181" s="88" t="s">
        <v>182</v>
      </c>
      <c r="H181" s="88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67"/>
    </row>
    <row r="182" spans="1:21" ht="15.6" x14ac:dyDescent="0.3">
      <c r="A182" s="84"/>
      <c r="B182" s="85"/>
      <c r="C182" s="86"/>
      <c r="D182" s="87" t="s">
        <v>183</v>
      </c>
      <c r="E182" s="85"/>
      <c r="F182" s="87" t="s">
        <v>184</v>
      </c>
      <c r="G182" s="88" t="s">
        <v>185</v>
      </c>
      <c r="H182" s="88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67"/>
    </row>
    <row r="183" spans="1:21" ht="15.6" x14ac:dyDescent="0.3">
      <c r="A183" s="84"/>
      <c r="B183" s="85"/>
      <c r="C183" s="154"/>
      <c r="D183" s="155">
        <v>1.27</v>
      </c>
      <c r="E183" s="86"/>
      <c r="F183" s="87"/>
      <c r="G183" s="91" t="s">
        <v>186</v>
      </c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67"/>
    </row>
    <row r="184" spans="1:21" ht="15.6" x14ac:dyDescent="0.3">
      <c r="A184" s="84"/>
      <c r="B184" s="85"/>
      <c r="C184" s="154"/>
      <c r="D184" s="155">
        <v>1.28</v>
      </c>
      <c r="E184" s="86"/>
      <c r="F184" s="87"/>
      <c r="G184" s="91" t="s">
        <v>187</v>
      </c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67"/>
    </row>
    <row r="185" spans="1:21" ht="15.6" x14ac:dyDescent="0.3">
      <c r="A185" s="84"/>
      <c r="B185" s="85"/>
      <c r="C185" s="154"/>
      <c r="D185" s="87" t="s">
        <v>188</v>
      </c>
      <c r="E185" s="85"/>
      <c r="F185" s="87"/>
      <c r="G185" s="88" t="s">
        <v>189</v>
      </c>
      <c r="H185" s="88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67"/>
    </row>
    <row r="186" spans="1:21" ht="16.2" thickBot="1" x14ac:dyDescent="0.35">
      <c r="A186" s="156" t="s">
        <v>190</v>
      </c>
      <c r="B186" s="157"/>
      <c r="C186" s="157"/>
      <c r="D186" s="158"/>
      <c r="E186" s="157"/>
      <c r="F186" s="158"/>
      <c r="G186" s="159"/>
      <c r="H186" s="159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60"/>
    </row>
    <row r="187" spans="1:21" ht="17.399999999999999" x14ac:dyDescent="0.3">
      <c r="A187" s="161" t="s">
        <v>191</v>
      </c>
      <c r="B187" s="162"/>
      <c r="C187" s="162"/>
      <c r="D187" s="162"/>
      <c r="E187" s="163"/>
      <c r="F187" s="164"/>
      <c r="G187" s="165"/>
      <c r="H187" s="165"/>
      <c r="I187" s="163"/>
      <c r="J187" s="163"/>
      <c r="K187" s="163"/>
      <c r="L187" s="163"/>
      <c r="M187" s="163"/>
      <c r="N187" s="163"/>
      <c r="O187" s="163"/>
      <c r="P187" s="163"/>
      <c r="Q187" s="163"/>
      <c r="R187" s="163"/>
      <c r="S187" s="166"/>
      <c r="T187" s="353"/>
      <c r="U187" s="354"/>
    </row>
    <row r="188" spans="1:21" ht="15" thickBot="1" x14ac:dyDescent="0.35">
      <c r="A188" s="167"/>
      <c r="B188" s="168"/>
      <c r="C188" s="168"/>
      <c r="D188" s="169"/>
      <c r="E188" s="170"/>
      <c r="F188" s="169"/>
      <c r="G188" s="171"/>
      <c r="H188" s="171"/>
      <c r="I188" s="170"/>
      <c r="J188" s="170"/>
      <c r="K188" s="170"/>
      <c r="L188" s="170"/>
      <c r="M188" s="170"/>
      <c r="N188" s="170"/>
      <c r="O188" s="170"/>
      <c r="P188" s="170"/>
      <c r="Q188" s="170"/>
      <c r="R188" s="170"/>
      <c r="S188" s="172"/>
      <c r="T188" s="173"/>
      <c r="U188" s="174"/>
    </row>
    <row r="189" spans="1:21" x14ac:dyDescent="0.3">
      <c r="A189" s="175"/>
      <c r="B189" s="176"/>
      <c r="C189" s="176"/>
      <c r="D189" s="177"/>
      <c r="E189" s="178"/>
      <c r="F189" s="177"/>
      <c r="G189" s="179"/>
      <c r="H189" s="179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80"/>
    </row>
    <row r="190" spans="1:21" x14ac:dyDescent="0.3">
      <c r="A190" s="181" t="s">
        <v>192</v>
      </c>
      <c r="B190" s="14"/>
      <c r="C190" s="14"/>
      <c r="D190" s="35"/>
      <c r="F190" s="25">
        <f>E9</f>
        <v>0</v>
      </c>
      <c r="G190" s="182"/>
      <c r="H190" s="182"/>
      <c r="K190" s="65" t="s">
        <v>193</v>
      </c>
      <c r="O190" s="62">
        <f>G68</f>
        <v>0</v>
      </c>
      <c r="U190" s="251"/>
    </row>
    <row r="191" spans="1:21" x14ac:dyDescent="0.3">
      <c r="A191" s="29"/>
      <c r="B191" s="14"/>
      <c r="C191" s="14"/>
      <c r="D191" s="35"/>
      <c r="F191" s="35"/>
      <c r="G191" s="182"/>
      <c r="H191" s="182"/>
      <c r="U191" s="251"/>
    </row>
    <row r="192" spans="1:21" x14ac:dyDescent="0.3">
      <c r="A192" s="181" t="s">
        <v>194</v>
      </c>
      <c r="B192" s="14"/>
      <c r="C192" s="14"/>
      <c r="D192" s="35"/>
      <c r="F192" s="183">
        <f>N8</f>
        <v>0</v>
      </c>
      <c r="G192" s="182"/>
      <c r="H192" s="182"/>
      <c r="K192" s="65" t="s">
        <v>195</v>
      </c>
      <c r="O192" s="25">
        <f>N7</f>
        <v>0</v>
      </c>
      <c r="U192" s="251"/>
    </row>
    <row r="193" spans="1:21" x14ac:dyDescent="0.3">
      <c r="A193" s="181"/>
      <c r="B193" s="14"/>
      <c r="C193" s="14"/>
      <c r="D193" s="35"/>
      <c r="F193" s="35"/>
      <c r="G193" s="182"/>
      <c r="H193" s="182"/>
      <c r="K193" s="65"/>
      <c r="U193" s="251"/>
    </row>
    <row r="194" spans="1:21" x14ac:dyDescent="0.3">
      <c r="A194" s="181" t="s">
        <v>196</v>
      </c>
      <c r="B194" s="14"/>
      <c r="C194" s="14"/>
      <c r="D194" s="35"/>
      <c r="F194" s="35"/>
      <c r="G194" s="35"/>
      <c r="H194" s="184"/>
      <c r="I194" s="185"/>
      <c r="J194" s="185"/>
      <c r="K194" s="186"/>
      <c r="L194" s="185"/>
      <c r="M194" s="185"/>
      <c r="N194" s="185"/>
      <c r="O194" s="185"/>
      <c r="P194" s="185"/>
      <c r="Q194" s="185"/>
      <c r="R194" s="185"/>
      <c r="S194" s="185"/>
      <c r="T194" s="185"/>
      <c r="U194" s="251"/>
    </row>
    <row r="195" spans="1:21" x14ac:dyDescent="0.3">
      <c r="A195" s="181"/>
      <c r="B195" s="14"/>
      <c r="C195" s="14"/>
      <c r="D195" s="35"/>
      <c r="F195" s="35"/>
      <c r="G195" s="182"/>
      <c r="H195" s="182"/>
      <c r="K195" s="65"/>
      <c r="U195" s="251"/>
    </row>
    <row r="196" spans="1:21" x14ac:dyDescent="0.3">
      <c r="A196" s="181" t="s">
        <v>197</v>
      </c>
      <c r="B196" s="14"/>
      <c r="C196" s="14"/>
      <c r="D196" s="35"/>
      <c r="F196" s="35"/>
      <c r="G196" s="182"/>
      <c r="K196" s="65"/>
      <c r="L196" s="65" t="s">
        <v>198</v>
      </c>
      <c r="S196" s="185"/>
      <c r="T196" s="185"/>
      <c r="U196" s="251"/>
    </row>
    <row r="197" spans="1:21" ht="21" x14ac:dyDescent="0.4">
      <c r="A197" s="181"/>
      <c r="B197" s="14"/>
      <c r="C197" s="14"/>
      <c r="D197" s="35"/>
      <c r="F197" s="35"/>
      <c r="G197" s="182" t="s">
        <v>199</v>
      </c>
      <c r="H197" s="182"/>
      <c r="K197" s="65"/>
      <c r="L197" s="65"/>
      <c r="U197" s="251"/>
    </row>
    <row r="198" spans="1:21" ht="21" x14ac:dyDescent="0.4">
      <c r="A198" s="181"/>
      <c r="B198" s="14"/>
      <c r="C198" s="14"/>
      <c r="D198" s="35"/>
      <c r="F198" s="35"/>
      <c r="G198" s="182" t="s">
        <v>200</v>
      </c>
      <c r="K198" s="65"/>
      <c r="U198" s="251"/>
    </row>
    <row r="199" spans="1:21" x14ac:dyDescent="0.3">
      <c r="A199" s="181" t="s">
        <v>201</v>
      </c>
      <c r="H199" s="184"/>
      <c r="I199" s="185"/>
      <c r="J199" s="185"/>
      <c r="K199" s="186"/>
      <c r="L199" s="185"/>
      <c r="M199" s="185"/>
      <c r="N199" s="185"/>
      <c r="O199" s="185"/>
      <c r="P199" s="185"/>
      <c r="Q199" s="185"/>
      <c r="R199" s="185"/>
      <c r="S199" s="185"/>
      <c r="T199" s="185"/>
      <c r="U199" s="251"/>
    </row>
    <row r="200" spans="1:21" x14ac:dyDescent="0.3">
      <c r="A200" s="13"/>
      <c r="B200" s="14"/>
      <c r="C200" s="14"/>
      <c r="D200" s="35"/>
      <c r="F200" s="35"/>
      <c r="G200" s="182"/>
      <c r="H200" s="182"/>
      <c r="U200" s="251"/>
    </row>
    <row r="201" spans="1:21" x14ac:dyDescent="0.3">
      <c r="A201" s="181" t="s">
        <v>202</v>
      </c>
      <c r="B201" s="65"/>
      <c r="C201" s="65"/>
      <c r="D201" s="65"/>
      <c r="E201" s="65"/>
      <c r="F201" s="65"/>
      <c r="G201" s="182" t="s">
        <v>74</v>
      </c>
      <c r="H201" s="182"/>
      <c r="I201" s="65"/>
      <c r="J201" s="65"/>
      <c r="K201" s="65" t="s">
        <v>203</v>
      </c>
      <c r="L201" s="65"/>
      <c r="M201" s="65"/>
      <c r="N201" s="65"/>
      <c r="O201" s="65"/>
      <c r="P201" s="65" t="s">
        <v>204</v>
      </c>
      <c r="Q201" s="65"/>
      <c r="R201" s="65"/>
      <c r="S201" s="65"/>
      <c r="T201" s="65"/>
      <c r="U201" s="187"/>
    </row>
    <row r="202" spans="1:21" x14ac:dyDescent="0.3">
      <c r="A202" s="181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187"/>
    </row>
    <row r="203" spans="1:21" x14ac:dyDescent="0.3">
      <c r="A203" s="181" t="s">
        <v>205</v>
      </c>
      <c r="B203" s="65"/>
      <c r="C203" s="65"/>
      <c r="D203" s="65"/>
      <c r="E203" s="65"/>
      <c r="F203" s="65"/>
      <c r="G203" s="65"/>
      <c r="H203" s="65"/>
      <c r="I203" s="65"/>
      <c r="J203" s="65"/>
      <c r="K203" s="65" t="s">
        <v>203</v>
      </c>
      <c r="L203" s="65"/>
      <c r="M203" s="65"/>
      <c r="N203" s="65"/>
      <c r="O203" s="65"/>
      <c r="P203" s="65" t="s">
        <v>206</v>
      </c>
      <c r="Q203" s="65"/>
      <c r="R203" s="65"/>
      <c r="S203" s="65"/>
      <c r="T203" s="65"/>
      <c r="U203" s="187"/>
    </row>
    <row r="204" spans="1:21" ht="15" thickBot="1" x14ac:dyDescent="0.35">
      <c r="A204" s="13"/>
      <c r="B204" s="14"/>
      <c r="C204" s="14"/>
      <c r="D204" s="35"/>
      <c r="F204" s="14"/>
      <c r="G204" s="182"/>
      <c r="H204" s="182"/>
      <c r="U204" s="251"/>
    </row>
    <row r="205" spans="1:21" x14ac:dyDescent="0.3">
      <c r="A205" s="13"/>
      <c r="B205" s="14"/>
      <c r="C205" s="14"/>
      <c r="D205" s="355" t="s">
        <v>207</v>
      </c>
      <c r="E205" s="356"/>
      <c r="F205" s="356"/>
      <c r="G205" s="356"/>
      <c r="H205" s="356"/>
      <c r="I205" s="356"/>
      <c r="J205" s="356"/>
      <c r="K205" s="356"/>
      <c r="L205" s="356"/>
      <c r="M205" s="356"/>
      <c r="N205" s="356"/>
      <c r="O205" s="356"/>
      <c r="P205" s="356"/>
      <c r="Q205" s="356"/>
      <c r="R205" s="356"/>
      <c r="S205" s="356"/>
      <c r="T205" s="357"/>
      <c r="U205" s="251"/>
    </row>
    <row r="206" spans="1:21" x14ac:dyDescent="0.3">
      <c r="A206" s="13"/>
      <c r="B206" s="14"/>
      <c r="C206" s="14"/>
      <c r="D206" s="358"/>
      <c r="E206" s="359"/>
      <c r="F206" s="359"/>
      <c r="G206" s="359"/>
      <c r="H206" s="359"/>
      <c r="I206" s="359"/>
      <c r="J206" s="359"/>
      <c r="K206" s="359"/>
      <c r="L206" s="359"/>
      <c r="M206" s="359"/>
      <c r="N206" s="359"/>
      <c r="O206" s="359"/>
      <c r="P206" s="359"/>
      <c r="Q206" s="359"/>
      <c r="R206" s="359"/>
      <c r="S206" s="359"/>
      <c r="T206" s="360"/>
      <c r="U206" s="251"/>
    </row>
    <row r="207" spans="1:21" ht="15.6" x14ac:dyDescent="0.3">
      <c r="A207" s="52"/>
      <c r="D207" s="358"/>
      <c r="E207" s="359"/>
      <c r="F207" s="359"/>
      <c r="G207" s="359"/>
      <c r="H207" s="359"/>
      <c r="I207" s="359"/>
      <c r="J207" s="359"/>
      <c r="K207" s="359"/>
      <c r="L207" s="359"/>
      <c r="M207" s="359"/>
      <c r="N207" s="359"/>
      <c r="O207" s="359"/>
      <c r="P207" s="359"/>
      <c r="Q207" s="359"/>
      <c r="R207" s="359"/>
      <c r="S207" s="359"/>
      <c r="T207" s="360"/>
      <c r="U207" s="251"/>
    </row>
    <row r="208" spans="1:21" ht="16.2" thickBot="1" x14ac:dyDescent="0.35">
      <c r="A208" s="52"/>
      <c r="D208" s="361"/>
      <c r="E208" s="362"/>
      <c r="F208" s="362"/>
      <c r="G208" s="362"/>
      <c r="H208" s="362"/>
      <c r="I208" s="362"/>
      <c r="J208" s="362"/>
      <c r="K208" s="362"/>
      <c r="L208" s="362"/>
      <c r="M208" s="362"/>
      <c r="N208" s="362"/>
      <c r="O208" s="362"/>
      <c r="P208" s="362"/>
      <c r="Q208" s="362"/>
      <c r="R208" s="362"/>
      <c r="S208" s="362"/>
      <c r="T208" s="363"/>
      <c r="U208" s="251"/>
    </row>
    <row r="209" spans="1:21" ht="15.6" x14ac:dyDescent="0.3">
      <c r="A209" s="52"/>
      <c r="D209" s="188"/>
      <c r="F209" s="35"/>
      <c r="G209" s="182"/>
      <c r="H209" s="182"/>
      <c r="R209" s="32" t="s">
        <v>208</v>
      </c>
      <c r="S209" s="32" t="s">
        <v>209</v>
      </c>
      <c r="U209" s="251"/>
    </row>
    <row r="210" spans="1:21" ht="15.6" x14ac:dyDescent="0.3">
      <c r="A210" s="52"/>
      <c r="D210" s="189"/>
      <c r="E210" s="190"/>
      <c r="F210" s="190"/>
      <c r="G210" s="190"/>
      <c r="H210" s="190"/>
      <c r="I210" s="364" t="s">
        <v>210</v>
      </c>
      <c r="J210" s="364"/>
      <c r="K210" s="364"/>
      <c r="L210" s="364"/>
      <c r="M210" s="364"/>
      <c r="N210" s="364"/>
      <c r="O210" s="364"/>
      <c r="P210" s="364"/>
      <c r="Q210" s="191"/>
      <c r="R210" s="192"/>
      <c r="S210" s="192"/>
      <c r="T210" s="190"/>
      <c r="U210" s="251"/>
    </row>
    <row r="211" spans="1:21" ht="16.2" thickBot="1" x14ac:dyDescent="0.35">
      <c r="A211" s="52"/>
      <c r="D211" s="193"/>
      <c r="F211" s="35"/>
      <c r="G211" s="182"/>
      <c r="H211" s="182"/>
      <c r="U211" s="251"/>
    </row>
    <row r="212" spans="1:21" ht="15" thickBot="1" x14ac:dyDescent="0.35">
      <c r="A212" s="365" t="s">
        <v>211</v>
      </c>
      <c r="B212" s="366"/>
      <c r="C212" s="367" t="s">
        <v>212</v>
      </c>
      <c r="D212" s="368"/>
      <c r="E212" s="368"/>
      <c r="F212" s="368"/>
      <c r="G212" s="368"/>
      <c r="H212" s="368"/>
      <c r="I212" s="367" t="s">
        <v>213</v>
      </c>
      <c r="J212" s="369"/>
      <c r="K212" s="369"/>
      <c r="L212" s="369"/>
      <c r="M212" s="367" t="s">
        <v>214</v>
      </c>
      <c r="N212" s="369"/>
      <c r="O212" s="369"/>
      <c r="P212" s="369"/>
      <c r="Q212" s="369"/>
      <c r="R212" s="369"/>
      <c r="S212" s="369"/>
      <c r="T212" s="369"/>
      <c r="U212" s="369"/>
    </row>
    <row r="213" spans="1:21" x14ac:dyDescent="0.3">
      <c r="A213" s="383"/>
      <c r="B213" s="384"/>
      <c r="C213" s="385" t="s">
        <v>215</v>
      </c>
      <c r="D213" s="386"/>
      <c r="E213" s="371" t="s">
        <v>216</v>
      </c>
      <c r="F213" s="387"/>
      <c r="G213" s="387"/>
      <c r="H213" s="387"/>
      <c r="I213" s="388" t="s">
        <v>217</v>
      </c>
      <c r="J213" s="389"/>
      <c r="K213" s="390" t="s">
        <v>218</v>
      </c>
      <c r="L213" s="391"/>
      <c r="M213" s="392" t="s">
        <v>219</v>
      </c>
      <c r="N213" s="393"/>
      <c r="O213" s="194" t="s">
        <v>220</v>
      </c>
      <c r="P213" s="370" t="s">
        <v>221</v>
      </c>
      <c r="Q213" s="371"/>
      <c r="R213" s="371"/>
      <c r="S213" s="372"/>
      <c r="T213" s="370" t="s">
        <v>222</v>
      </c>
      <c r="U213" s="373"/>
    </row>
    <row r="214" spans="1:21" ht="35.4" x14ac:dyDescent="0.3">
      <c r="A214" s="374"/>
      <c r="B214" s="375"/>
      <c r="C214" s="374"/>
      <c r="D214" s="376"/>
      <c r="E214" s="377"/>
      <c r="F214" s="378"/>
      <c r="G214" s="378"/>
      <c r="H214" s="378"/>
      <c r="I214" s="379" t="s">
        <v>223</v>
      </c>
      <c r="J214" s="380"/>
      <c r="K214" s="381" t="s">
        <v>224</v>
      </c>
      <c r="L214" s="382"/>
      <c r="M214" s="195" t="s">
        <v>225</v>
      </c>
      <c r="N214" s="196" t="s">
        <v>226</v>
      </c>
      <c r="O214" s="197" t="s">
        <v>227</v>
      </c>
      <c r="P214" s="198" t="s">
        <v>228</v>
      </c>
      <c r="Q214" s="199" t="s">
        <v>229</v>
      </c>
      <c r="R214" s="199" t="s">
        <v>230</v>
      </c>
      <c r="S214" s="196" t="s">
        <v>231</v>
      </c>
      <c r="T214" s="198" t="s">
        <v>232</v>
      </c>
      <c r="U214" s="200" t="s">
        <v>233</v>
      </c>
    </row>
    <row r="215" spans="1:21" x14ac:dyDescent="0.3">
      <c r="A215" s="394">
        <v>1</v>
      </c>
      <c r="B215" s="395"/>
      <c r="C215" s="396" t="s">
        <v>234</v>
      </c>
      <c r="D215" s="397"/>
      <c r="E215" s="398" t="s">
        <v>235</v>
      </c>
      <c r="F215" s="399"/>
      <c r="G215" s="399"/>
      <c r="H215" s="399"/>
      <c r="I215" s="400"/>
      <c r="J215" s="401"/>
      <c r="K215" s="298"/>
      <c r="L215" s="402"/>
      <c r="M215" s="201"/>
      <c r="N215" s="202"/>
      <c r="O215" s="203"/>
      <c r="P215" s="204"/>
      <c r="Q215" s="205"/>
      <c r="R215" s="205"/>
      <c r="S215" s="206"/>
      <c r="T215" s="204"/>
      <c r="U215" s="207"/>
    </row>
    <row r="216" spans="1:21" x14ac:dyDescent="0.3">
      <c r="A216" s="394">
        <v>2</v>
      </c>
      <c r="B216" s="395"/>
      <c r="C216" s="396" t="s">
        <v>236</v>
      </c>
      <c r="D216" s="397"/>
      <c r="E216" s="398" t="s">
        <v>237</v>
      </c>
      <c r="F216" s="399"/>
      <c r="G216" s="399"/>
      <c r="H216" s="399"/>
      <c r="I216" s="400"/>
      <c r="J216" s="401"/>
      <c r="K216" s="298"/>
      <c r="L216" s="402"/>
      <c r="M216" s="201"/>
      <c r="N216" s="202"/>
      <c r="O216" s="203"/>
      <c r="P216" s="204"/>
      <c r="Q216" s="205"/>
      <c r="R216" s="205"/>
      <c r="S216" s="206"/>
      <c r="T216" s="204"/>
      <c r="U216" s="207"/>
    </row>
    <row r="217" spans="1:21" x14ac:dyDescent="0.3">
      <c r="A217" s="394">
        <v>3</v>
      </c>
      <c r="B217" s="395"/>
      <c r="C217" s="396"/>
      <c r="D217" s="397"/>
      <c r="E217" s="398"/>
      <c r="F217" s="399"/>
      <c r="G217" s="399"/>
      <c r="H217" s="399"/>
      <c r="I217" s="400"/>
      <c r="J217" s="401"/>
      <c r="K217" s="298"/>
      <c r="L217" s="402"/>
      <c r="M217" s="201"/>
      <c r="N217" s="202"/>
      <c r="O217" s="203"/>
      <c r="P217" s="204"/>
      <c r="Q217" s="205"/>
      <c r="R217" s="205"/>
      <c r="S217" s="206"/>
      <c r="T217" s="204"/>
      <c r="U217" s="207"/>
    </row>
    <row r="218" spans="1:21" x14ac:dyDescent="0.3">
      <c r="A218" s="394">
        <v>4</v>
      </c>
      <c r="B218" s="395"/>
      <c r="C218" s="396" t="s">
        <v>238</v>
      </c>
      <c r="D218" s="397"/>
      <c r="E218" s="403" t="s">
        <v>239</v>
      </c>
      <c r="F218" s="404"/>
      <c r="G218" s="404"/>
      <c r="H218" s="405"/>
      <c r="I218" s="400"/>
      <c r="J218" s="401"/>
      <c r="K218" s="298"/>
      <c r="L218" s="402"/>
      <c r="M218" s="201"/>
      <c r="N218" s="202"/>
      <c r="O218" s="203"/>
      <c r="P218" s="204"/>
      <c r="Q218" s="205"/>
      <c r="R218" s="205"/>
      <c r="S218" s="206"/>
      <c r="T218" s="204"/>
      <c r="U218" s="207"/>
    </row>
    <row r="219" spans="1:21" x14ac:dyDescent="0.3">
      <c r="A219" s="394">
        <v>5</v>
      </c>
      <c r="B219" s="395"/>
      <c r="C219" s="396" t="s">
        <v>240</v>
      </c>
      <c r="D219" s="397"/>
      <c r="E219" s="398" t="s">
        <v>241</v>
      </c>
      <c r="F219" s="399"/>
      <c r="G219" s="399"/>
      <c r="H219" s="399"/>
      <c r="I219" s="400"/>
      <c r="J219" s="401"/>
      <c r="K219" s="298"/>
      <c r="L219" s="402"/>
      <c r="M219" s="201"/>
      <c r="N219" s="202"/>
      <c r="O219" s="203"/>
      <c r="P219" s="204"/>
      <c r="Q219" s="205"/>
      <c r="R219" s="205"/>
      <c r="S219" s="206"/>
      <c r="T219" s="204"/>
      <c r="U219" s="207"/>
    </row>
    <row r="220" spans="1:21" x14ac:dyDescent="0.3">
      <c r="A220" s="394">
        <v>6</v>
      </c>
      <c r="B220" s="395"/>
      <c r="C220" s="396"/>
      <c r="D220" s="397"/>
      <c r="E220" s="398"/>
      <c r="F220" s="399"/>
      <c r="G220" s="399"/>
      <c r="H220" s="399"/>
      <c r="I220" s="400"/>
      <c r="J220" s="401"/>
      <c r="K220" s="298"/>
      <c r="L220" s="402"/>
      <c r="M220" s="201"/>
      <c r="N220" s="202"/>
      <c r="O220" s="203"/>
      <c r="P220" s="204"/>
      <c r="Q220" s="205"/>
      <c r="R220" s="205"/>
      <c r="S220" s="206"/>
      <c r="T220" s="204"/>
      <c r="U220" s="207"/>
    </row>
    <row r="221" spans="1:21" x14ac:dyDescent="0.3">
      <c r="A221" s="394">
        <v>7</v>
      </c>
      <c r="B221" s="395"/>
      <c r="C221" s="396" t="s">
        <v>242</v>
      </c>
      <c r="D221" s="397"/>
      <c r="E221" s="403" t="s">
        <v>243</v>
      </c>
      <c r="F221" s="404"/>
      <c r="G221" s="404"/>
      <c r="H221" s="405"/>
      <c r="I221" s="400"/>
      <c r="J221" s="401"/>
      <c r="K221" s="298"/>
      <c r="L221" s="402"/>
      <c r="M221" s="201"/>
      <c r="N221" s="202"/>
      <c r="O221" s="203"/>
      <c r="P221" s="204"/>
      <c r="Q221" s="205"/>
      <c r="R221" s="205"/>
      <c r="S221" s="206"/>
      <c r="T221" s="204"/>
      <c r="U221" s="207"/>
    </row>
    <row r="222" spans="1:21" x14ac:dyDescent="0.3">
      <c r="A222" s="394">
        <v>8</v>
      </c>
      <c r="B222" s="395"/>
      <c r="C222" s="396" t="s">
        <v>244</v>
      </c>
      <c r="D222" s="397"/>
      <c r="E222" s="398" t="s">
        <v>245</v>
      </c>
      <c r="F222" s="399"/>
      <c r="G222" s="399"/>
      <c r="H222" s="399"/>
      <c r="I222" s="400"/>
      <c r="J222" s="401"/>
      <c r="K222" s="298"/>
      <c r="L222" s="402"/>
      <c r="M222" s="201"/>
      <c r="N222" s="202"/>
      <c r="O222" s="203"/>
      <c r="P222" s="204"/>
      <c r="Q222" s="205"/>
      <c r="R222" s="205"/>
      <c r="S222" s="206"/>
      <c r="T222" s="204"/>
      <c r="U222" s="207"/>
    </row>
    <row r="223" spans="1:21" x14ac:dyDescent="0.3">
      <c r="A223" s="394">
        <v>9</v>
      </c>
      <c r="B223" s="395"/>
      <c r="C223" s="396" t="s">
        <v>246</v>
      </c>
      <c r="D223" s="397"/>
      <c r="E223" s="403" t="s">
        <v>247</v>
      </c>
      <c r="F223" s="404"/>
      <c r="G223" s="404"/>
      <c r="H223" s="405"/>
      <c r="I223" s="400"/>
      <c r="J223" s="401"/>
      <c r="K223" s="298"/>
      <c r="L223" s="402"/>
      <c r="M223" s="201"/>
      <c r="N223" s="202"/>
      <c r="O223" s="203"/>
      <c r="P223" s="204"/>
      <c r="Q223" s="205"/>
      <c r="R223" s="205"/>
      <c r="S223" s="206"/>
      <c r="T223" s="204"/>
      <c r="U223" s="207"/>
    </row>
    <row r="224" spans="1:21" x14ac:dyDescent="0.3">
      <c r="A224" s="394">
        <v>10</v>
      </c>
      <c r="B224" s="395"/>
      <c r="C224" s="396" t="s">
        <v>248</v>
      </c>
      <c r="D224" s="397"/>
      <c r="E224" s="403" t="s">
        <v>249</v>
      </c>
      <c r="F224" s="404"/>
      <c r="G224" s="404"/>
      <c r="H224" s="405"/>
      <c r="I224" s="400"/>
      <c r="J224" s="401"/>
      <c r="K224" s="298"/>
      <c r="L224" s="402"/>
      <c r="M224" s="201"/>
      <c r="N224" s="202"/>
      <c r="O224" s="203"/>
      <c r="P224" s="204"/>
      <c r="Q224" s="205"/>
      <c r="R224" s="205"/>
      <c r="S224" s="206"/>
      <c r="T224" s="204"/>
      <c r="U224" s="207"/>
    </row>
    <row r="225" spans="1:21" x14ac:dyDescent="0.3">
      <c r="A225" s="394">
        <v>11</v>
      </c>
      <c r="B225" s="395"/>
      <c r="C225" s="396" t="s">
        <v>250</v>
      </c>
      <c r="D225" s="397"/>
      <c r="E225" s="403" t="s">
        <v>251</v>
      </c>
      <c r="F225" s="404"/>
      <c r="G225" s="404"/>
      <c r="H225" s="405"/>
      <c r="I225" s="400"/>
      <c r="J225" s="401"/>
      <c r="K225" s="298"/>
      <c r="L225" s="402"/>
      <c r="M225" s="201"/>
      <c r="N225" s="202"/>
      <c r="O225" s="203"/>
      <c r="P225" s="204"/>
      <c r="Q225" s="205"/>
      <c r="R225" s="205"/>
      <c r="S225" s="206"/>
      <c r="T225" s="204"/>
      <c r="U225" s="207"/>
    </row>
    <row r="226" spans="1:21" x14ac:dyDescent="0.3">
      <c r="A226" s="394">
        <v>12</v>
      </c>
      <c r="B226" s="395"/>
      <c r="C226" s="396"/>
      <c r="D226" s="397"/>
      <c r="E226" s="398"/>
      <c r="F226" s="399"/>
      <c r="G226" s="399"/>
      <c r="H226" s="399"/>
      <c r="I226" s="400"/>
      <c r="J226" s="401"/>
      <c r="K226" s="298"/>
      <c r="L226" s="402"/>
      <c r="M226" s="201"/>
      <c r="N226" s="202"/>
      <c r="O226" s="203"/>
      <c r="P226" s="204"/>
      <c r="Q226" s="205"/>
      <c r="R226" s="205"/>
      <c r="S226" s="206"/>
      <c r="T226" s="204"/>
      <c r="U226" s="207"/>
    </row>
    <row r="227" spans="1:21" x14ac:dyDescent="0.3">
      <c r="A227" s="394">
        <v>13</v>
      </c>
      <c r="B227" s="395"/>
      <c r="C227" s="396"/>
      <c r="D227" s="397"/>
      <c r="E227" s="398"/>
      <c r="F227" s="399"/>
      <c r="G227" s="399"/>
      <c r="H227" s="399"/>
      <c r="I227" s="400"/>
      <c r="J227" s="401"/>
      <c r="K227" s="298"/>
      <c r="L227" s="402"/>
      <c r="M227" s="201"/>
      <c r="N227" s="202"/>
      <c r="O227" s="203"/>
      <c r="P227" s="204"/>
      <c r="Q227" s="205"/>
      <c r="R227" s="205"/>
      <c r="S227" s="206"/>
      <c r="T227" s="204"/>
      <c r="U227" s="207"/>
    </row>
    <row r="228" spans="1:21" x14ac:dyDescent="0.3">
      <c r="A228" s="394">
        <v>14</v>
      </c>
      <c r="B228" s="395"/>
      <c r="C228" s="396"/>
      <c r="D228" s="397"/>
      <c r="E228" s="398"/>
      <c r="F228" s="399"/>
      <c r="G228" s="399"/>
      <c r="H228" s="399"/>
      <c r="I228" s="400"/>
      <c r="J228" s="401"/>
      <c r="K228" s="298"/>
      <c r="L228" s="402"/>
      <c r="M228" s="201"/>
      <c r="N228" s="202"/>
      <c r="O228" s="203"/>
      <c r="P228" s="204"/>
      <c r="Q228" s="205"/>
      <c r="R228" s="205"/>
      <c r="S228" s="206"/>
      <c r="T228" s="204"/>
      <c r="U228" s="207"/>
    </row>
    <row r="229" spans="1:21" x14ac:dyDescent="0.3">
      <c r="A229" s="394">
        <v>15</v>
      </c>
      <c r="B229" s="395"/>
      <c r="C229" s="396"/>
      <c r="D229" s="397"/>
      <c r="E229" s="398"/>
      <c r="F229" s="399"/>
      <c r="G229" s="399"/>
      <c r="H229" s="399"/>
      <c r="I229" s="400"/>
      <c r="J229" s="401"/>
      <c r="K229" s="298"/>
      <c r="L229" s="402"/>
      <c r="M229" s="201"/>
      <c r="N229" s="202"/>
      <c r="O229" s="203"/>
      <c r="P229" s="204"/>
      <c r="Q229" s="205"/>
      <c r="R229" s="205"/>
      <c r="S229" s="206"/>
      <c r="T229" s="204"/>
      <c r="U229" s="207"/>
    </row>
    <row r="230" spans="1:21" ht="15" thickBot="1" x14ac:dyDescent="0.35">
      <c r="A230" s="427">
        <v>16</v>
      </c>
      <c r="B230" s="428"/>
      <c r="C230" s="429"/>
      <c r="D230" s="430"/>
      <c r="E230" s="431"/>
      <c r="F230" s="432"/>
      <c r="G230" s="432"/>
      <c r="H230" s="432"/>
      <c r="I230" s="433"/>
      <c r="J230" s="434"/>
      <c r="K230" s="435"/>
      <c r="L230" s="436"/>
      <c r="M230" s="208"/>
      <c r="N230" s="209"/>
      <c r="O230" s="210"/>
      <c r="P230" s="211"/>
      <c r="Q230" s="212"/>
      <c r="R230" s="212"/>
      <c r="S230" s="213"/>
      <c r="T230" s="211"/>
      <c r="U230" s="214"/>
    </row>
    <row r="231" spans="1:21" ht="15" thickBot="1" x14ac:dyDescent="0.35"/>
    <row r="232" spans="1:21" x14ac:dyDescent="0.3">
      <c r="D232" s="406" t="s">
        <v>252</v>
      </c>
      <c r="E232" s="407"/>
      <c r="F232" s="407"/>
      <c r="G232" s="407"/>
      <c r="H232" s="407"/>
      <c r="I232" s="407"/>
      <c r="J232" s="407"/>
      <c r="K232" s="407"/>
      <c r="L232" s="407"/>
      <c r="M232" s="407"/>
      <c r="N232" s="407"/>
      <c r="O232" s="407"/>
      <c r="P232" s="407"/>
      <c r="Q232" s="407"/>
      <c r="R232" s="407"/>
      <c r="S232" s="407"/>
      <c r="T232" s="408"/>
    </row>
    <row r="233" spans="1:21" x14ac:dyDescent="0.3">
      <c r="D233" s="409"/>
      <c r="E233" s="410"/>
      <c r="F233" s="410"/>
      <c r="G233" s="410"/>
      <c r="H233" s="410"/>
      <c r="I233" s="410"/>
      <c r="J233" s="410"/>
      <c r="K233" s="410"/>
      <c r="L233" s="410"/>
      <c r="M233" s="410"/>
      <c r="N233" s="410"/>
      <c r="O233" s="410"/>
      <c r="P233" s="410"/>
      <c r="Q233" s="410"/>
      <c r="R233" s="410"/>
      <c r="S233" s="410"/>
      <c r="T233" s="411"/>
    </row>
    <row r="234" spans="1:21" ht="15" thickBot="1" x14ac:dyDescent="0.35">
      <c r="D234" s="412"/>
      <c r="E234" s="413"/>
      <c r="F234" s="413"/>
      <c r="G234" s="413"/>
      <c r="H234" s="413"/>
      <c r="I234" s="413"/>
      <c r="J234" s="413"/>
      <c r="K234" s="413"/>
      <c r="L234" s="413"/>
      <c r="M234" s="413"/>
      <c r="N234" s="413"/>
      <c r="O234" s="413"/>
      <c r="P234" s="413"/>
      <c r="Q234" s="413"/>
      <c r="R234" s="413"/>
      <c r="S234" s="413"/>
      <c r="T234" s="414"/>
    </row>
    <row r="235" spans="1:21" x14ac:dyDescent="0.3">
      <c r="D235" s="215"/>
      <c r="E235" s="215"/>
      <c r="F235" s="215"/>
      <c r="G235" s="215"/>
      <c r="H235" s="215"/>
      <c r="I235" s="215"/>
      <c r="J235" s="215"/>
      <c r="K235" s="215"/>
      <c r="L235" s="215"/>
      <c r="M235" s="215"/>
      <c r="N235" s="215"/>
      <c r="O235" s="215"/>
      <c r="P235" s="215"/>
      <c r="Q235" s="215"/>
      <c r="R235" s="215"/>
      <c r="S235" s="215"/>
      <c r="T235" s="215"/>
    </row>
    <row r="236" spans="1:21" x14ac:dyDescent="0.3">
      <c r="D236" s="215"/>
      <c r="E236" s="215"/>
      <c r="F236" s="215"/>
      <c r="G236" s="215"/>
      <c r="H236" s="215"/>
      <c r="I236" s="215"/>
      <c r="J236" s="215"/>
      <c r="K236" s="215"/>
      <c r="L236" s="215"/>
      <c r="M236" s="215"/>
      <c r="N236" s="215"/>
      <c r="O236" s="215"/>
      <c r="P236" s="215"/>
      <c r="Q236" s="215"/>
      <c r="R236" s="215"/>
      <c r="S236" s="215"/>
      <c r="T236" s="215"/>
    </row>
    <row r="237" spans="1:21" x14ac:dyDescent="0.3">
      <c r="D237" s="215"/>
      <c r="E237" s="215"/>
      <c r="F237" s="215"/>
      <c r="G237" s="215"/>
      <c r="H237" s="215"/>
      <c r="I237" s="215"/>
      <c r="J237" s="215"/>
      <c r="K237" s="215"/>
      <c r="L237" s="215"/>
      <c r="M237" s="215"/>
      <c r="N237" s="215"/>
      <c r="O237" s="215"/>
      <c r="P237" s="215"/>
      <c r="Q237" s="215"/>
      <c r="R237" s="215"/>
      <c r="S237" s="215"/>
      <c r="T237" s="215"/>
    </row>
    <row r="238" spans="1:21" x14ac:dyDescent="0.3">
      <c r="D238" s="215"/>
      <c r="E238" s="215"/>
      <c r="F238" s="215"/>
      <c r="G238" s="215"/>
      <c r="H238" s="215"/>
      <c r="I238" s="215"/>
      <c r="J238" s="215"/>
      <c r="K238" s="215"/>
      <c r="L238" s="215"/>
      <c r="M238" s="215"/>
      <c r="N238" s="215"/>
      <c r="O238" s="215"/>
      <c r="P238" s="215"/>
      <c r="Q238" s="215"/>
      <c r="R238" s="215"/>
      <c r="S238" s="215"/>
      <c r="T238" s="215"/>
    </row>
    <row r="239" spans="1:21" ht="15" thickBot="1" x14ac:dyDescent="0.35">
      <c r="A239" s="415" t="s">
        <v>253</v>
      </c>
      <c r="B239" s="416"/>
      <c r="C239" s="416"/>
      <c r="D239" s="416"/>
      <c r="E239" s="416"/>
      <c r="F239" s="416"/>
      <c r="G239" s="416"/>
      <c r="H239" s="416"/>
      <c r="I239" s="416"/>
      <c r="J239" s="416"/>
      <c r="K239" s="416"/>
      <c r="L239" s="416"/>
      <c r="M239" s="416"/>
      <c r="N239" s="416"/>
      <c r="O239" s="416"/>
      <c r="P239" s="416"/>
      <c r="Q239" s="416"/>
      <c r="R239" s="416"/>
      <c r="S239" s="416"/>
      <c r="T239" s="416"/>
      <c r="U239" s="417"/>
    </row>
    <row r="240" spans="1:21" x14ac:dyDescent="0.3">
      <c r="A240" s="101"/>
      <c r="B240" s="101"/>
      <c r="C240" s="101"/>
      <c r="D240" s="101"/>
      <c r="E240" s="101"/>
      <c r="F240" s="101"/>
      <c r="G240" s="101"/>
      <c r="H240" s="101"/>
      <c r="I240" s="101"/>
      <c r="J240" s="101"/>
      <c r="K240" s="101"/>
      <c r="L240" s="101"/>
      <c r="M240" s="101"/>
      <c r="N240" s="101"/>
    </row>
    <row r="241" spans="1:21" x14ac:dyDescent="0.3">
      <c r="A241" s="418" t="s">
        <v>315</v>
      </c>
      <c r="B241" s="419"/>
      <c r="C241" s="419"/>
      <c r="D241" s="419"/>
      <c r="E241" s="419"/>
      <c r="F241" s="419"/>
      <c r="G241" s="419"/>
      <c r="H241" s="419"/>
      <c r="I241" s="419"/>
      <c r="J241" s="419"/>
      <c r="K241" s="419"/>
      <c r="L241" s="420"/>
      <c r="M241" s="418" t="s">
        <v>314</v>
      </c>
      <c r="N241" s="419"/>
      <c r="O241" s="419"/>
      <c r="P241" s="419"/>
      <c r="Q241" s="419"/>
      <c r="R241" s="419"/>
      <c r="S241" s="419"/>
      <c r="T241" s="419"/>
      <c r="U241" s="420"/>
    </row>
    <row r="242" spans="1:21" x14ac:dyDescent="0.3">
      <c r="A242" s="421" t="s">
        <v>254</v>
      </c>
      <c r="B242" s="422"/>
      <c r="C242" s="422"/>
      <c r="D242" s="422"/>
      <c r="E242" s="422"/>
      <c r="F242" s="422"/>
      <c r="G242" s="422"/>
      <c r="H242" s="422"/>
      <c r="I242" s="422"/>
      <c r="J242" s="422"/>
      <c r="K242" s="422"/>
      <c r="L242" s="423"/>
      <c r="M242" s="424" t="s">
        <v>255</v>
      </c>
      <c r="N242" s="425"/>
      <c r="O242" s="425"/>
      <c r="P242" s="425"/>
      <c r="Q242" s="425"/>
      <c r="R242" s="425"/>
      <c r="S242" s="425"/>
      <c r="T242" s="425"/>
      <c r="U242" s="426"/>
    </row>
    <row r="243" spans="1:21" x14ac:dyDescent="0.3">
      <c r="A243" s="216"/>
      <c r="B243" s="217"/>
      <c r="C243" s="217"/>
      <c r="D243" s="217"/>
      <c r="E243" s="217"/>
      <c r="F243" s="217"/>
      <c r="G243" s="446"/>
      <c r="H243" s="446"/>
      <c r="I243" s="446"/>
      <c r="J243" s="446"/>
      <c r="K243" s="446"/>
      <c r="L243" s="447"/>
      <c r="M243" s="448" t="s">
        <v>256</v>
      </c>
      <c r="N243" s="449"/>
      <c r="O243" s="449"/>
      <c r="P243" s="449"/>
      <c r="Q243" s="449"/>
      <c r="R243" s="449"/>
      <c r="S243" s="449"/>
      <c r="T243" s="449"/>
      <c r="U243" s="450"/>
    </row>
    <row r="244" spans="1:21" x14ac:dyDescent="0.3">
      <c r="A244" s="218"/>
      <c r="B244" s="101"/>
      <c r="C244" s="101"/>
      <c r="D244" s="101"/>
      <c r="E244" s="101"/>
      <c r="F244" s="101"/>
      <c r="G244" s="101"/>
      <c r="H244" s="101"/>
      <c r="I244" s="101"/>
      <c r="J244" s="101"/>
      <c r="K244" s="101"/>
      <c r="L244" s="101"/>
      <c r="M244" s="101"/>
      <c r="N244" s="101"/>
    </row>
    <row r="245" spans="1:21" x14ac:dyDescent="0.3">
      <c r="A245" s="451" t="s">
        <v>257</v>
      </c>
      <c r="B245" s="452"/>
      <c r="C245" s="452"/>
      <c r="D245" s="452"/>
      <c r="E245" s="452"/>
      <c r="F245" s="452"/>
      <c r="G245" s="452"/>
      <c r="H245" s="101"/>
      <c r="I245" s="101"/>
      <c r="J245" s="101"/>
      <c r="K245" s="101"/>
      <c r="L245" s="101"/>
      <c r="M245" s="101"/>
      <c r="N245" s="101"/>
    </row>
    <row r="246" spans="1:21" x14ac:dyDescent="0.3">
      <c r="A246" s="219"/>
      <c r="B246" s="6"/>
      <c r="C246" s="220"/>
      <c r="D246" s="453" t="s">
        <v>258</v>
      </c>
      <c r="E246" s="453"/>
      <c r="F246" s="454"/>
      <c r="G246" s="221"/>
      <c r="H246" s="459" t="s">
        <v>259</v>
      </c>
      <c r="I246" s="459"/>
      <c r="J246" s="460"/>
      <c r="K246" s="219"/>
      <c r="L246" s="459" t="s">
        <v>260</v>
      </c>
      <c r="M246" s="459"/>
      <c r="N246" s="460"/>
      <c r="O246" s="219"/>
      <c r="P246" s="465" t="s">
        <v>261</v>
      </c>
      <c r="Q246" s="465"/>
      <c r="R246" s="466"/>
      <c r="S246" s="219"/>
      <c r="T246" s="465" t="s">
        <v>262</v>
      </c>
      <c r="U246" s="466"/>
    </row>
    <row r="247" spans="1:21" x14ac:dyDescent="0.3">
      <c r="A247" s="222"/>
      <c r="C247" s="223"/>
      <c r="D247" s="455"/>
      <c r="E247" s="455"/>
      <c r="F247" s="456"/>
      <c r="G247" s="224"/>
      <c r="H247" s="461"/>
      <c r="I247" s="461"/>
      <c r="J247" s="462"/>
      <c r="K247" s="222"/>
      <c r="L247" s="461"/>
      <c r="M247" s="461"/>
      <c r="N247" s="462"/>
      <c r="O247" s="222"/>
      <c r="P247" s="467"/>
      <c r="Q247" s="467"/>
      <c r="R247" s="468"/>
      <c r="S247" s="222"/>
      <c r="T247" s="467"/>
      <c r="U247" s="468"/>
    </row>
    <row r="248" spans="1:21" x14ac:dyDescent="0.3">
      <c r="A248" s="225"/>
      <c r="B248" s="252"/>
      <c r="C248" s="226"/>
      <c r="D248" s="457"/>
      <c r="E248" s="457"/>
      <c r="F248" s="458"/>
      <c r="G248" s="227"/>
      <c r="H248" s="463"/>
      <c r="I248" s="463"/>
      <c r="J248" s="464"/>
      <c r="K248" s="225"/>
      <c r="L248" s="463"/>
      <c r="M248" s="463"/>
      <c r="N248" s="464"/>
      <c r="O248" s="225"/>
      <c r="P248" s="469"/>
      <c r="Q248" s="469"/>
      <c r="R248" s="470"/>
      <c r="S248" s="225"/>
      <c r="T248" s="469"/>
      <c r="U248" s="470"/>
    </row>
    <row r="249" spans="1:21" x14ac:dyDescent="0.3">
      <c r="A249" s="218"/>
      <c r="B249" s="101"/>
      <c r="C249" s="101"/>
      <c r="D249" s="101"/>
      <c r="E249" s="101"/>
      <c r="F249" s="101"/>
      <c r="G249" s="101"/>
      <c r="H249" s="101"/>
      <c r="I249" s="228"/>
      <c r="J249" s="101"/>
      <c r="K249" s="101"/>
      <c r="L249" s="101"/>
      <c r="M249" s="101"/>
      <c r="N249" s="101"/>
    </row>
    <row r="250" spans="1:21" ht="20.399999999999999" x14ac:dyDescent="0.3">
      <c r="A250" s="437" t="s">
        <v>263</v>
      </c>
      <c r="B250" s="438"/>
      <c r="C250" s="438"/>
      <c r="D250" s="438"/>
      <c r="E250" s="438"/>
      <c r="F250" s="438"/>
      <c r="G250" s="438"/>
      <c r="H250" s="438"/>
      <c r="I250" s="439"/>
      <c r="J250" s="229" t="s">
        <v>208</v>
      </c>
      <c r="K250" s="230" t="s">
        <v>264</v>
      </c>
      <c r="M250" s="437" t="s">
        <v>265</v>
      </c>
      <c r="N250" s="438"/>
      <c r="O250" s="438"/>
      <c r="P250" s="438"/>
      <c r="Q250" s="438"/>
      <c r="R250" s="438"/>
      <c r="S250" s="438"/>
      <c r="T250" s="229" t="s">
        <v>208</v>
      </c>
      <c r="U250" s="230" t="s">
        <v>264</v>
      </c>
    </row>
    <row r="251" spans="1:21" x14ac:dyDescent="0.3">
      <c r="A251" s="440" t="s">
        <v>266</v>
      </c>
      <c r="B251" s="441"/>
      <c r="C251" s="441"/>
      <c r="D251" s="441"/>
      <c r="E251" s="441"/>
      <c r="F251" s="441"/>
      <c r="G251" s="441"/>
      <c r="H251" s="441"/>
      <c r="I251" s="442"/>
      <c r="J251" s="231"/>
      <c r="K251" s="232"/>
      <c r="M251" s="440" t="s">
        <v>266</v>
      </c>
      <c r="N251" s="441"/>
      <c r="O251" s="441"/>
      <c r="P251" s="441"/>
      <c r="Q251" s="441"/>
      <c r="R251" s="441"/>
      <c r="S251" s="441"/>
      <c r="T251" s="233"/>
      <c r="U251" s="234"/>
    </row>
    <row r="252" spans="1:21" x14ac:dyDescent="0.3">
      <c r="A252" s="443" t="s">
        <v>267</v>
      </c>
      <c r="B252" s="444"/>
      <c r="C252" s="444"/>
      <c r="D252" s="444"/>
      <c r="E252" s="444"/>
      <c r="F252" s="444"/>
      <c r="G252" s="444"/>
      <c r="H252" s="444"/>
      <c r="I252" s="445"/>
      <c r="J252" s="235"/>
      <c r="K252" s="236"/>
      <c r="M252" s="443" t="s">
        <v>268</v>
      </c>
      <c r="N252" s="444"/>
      <c r="O252" s="444"/>
      <c r="P252" s="444"/>
      <c r="Q252" s="444"/>
      <c r="R252" s="444"/>
      <c r="S252" s="444"/>
      <c r="T252" s="235"/>
      <c r="U252" s="236"/>
    </row>
    <row r="253" spans="1:21" x14ac:dyDescent="0.3">
      <c r="A253" s="443" t="s">
        <v>269</v>
      </c>
      <c r="B253" s="444"/>
      <c r="C253" s="444"/>
      <c r="D253" s="444"/>
      <c r="E253" s="444"/>
      <c r="F253" s="444"/>
      <c r="G253" s="444"/>
      <c r="H253" s="444"/>
      <c r="I253" s="445"/>
      <c r="J253" s="235"/>
      <c r="K253" s="236"/>
      <c r="M253" s="443" t="s">
        <v>270</v>
      </c>
      <c r="N253" s="444"/>
      <c r="O253" s="444"/>
      <c r="P253" s="444"/>
      <c r="Q253" s="444"/>
      <c r="R253" s="444"/>
      <c r="S253" s="444"/>
      <c r="T253" s="235"/>
      <c r="U253" s="236"/>
    </row>
    <row r="254" spans="1:21" x14ac:dyDescent="0.3">
      <c r="A254" s="443" t="s">
        <v>271</v>
      </c>
      <c r="B254" s="444"/>
      <c r="C254" s="444"/>
      <c r="D254" s="444"/>
      <c r="E254" s="444"/>
      <c r="F254" s="444"/>
      <c r="G254" s="444"/>
      <c r="H254" s="444"/>
      <c r="I254" s="445"/>
      <c r="J254" s="235"/>
      <c r="K254" s="236"/>
      <c r="M254" s="443" t="s">
        <v>272</v>
      </c>
      <c r="N254" s="444"/>
      <c r="O254" s="444"/>
      <c r="P254" s="444"/>
      <c r="Q254" s="444"/>
      <c r="R254" s="444"/>
      <c r="S254" s="444"/>
      <c r="T254" s="235"/>
      <c r="U254" s="236"/>
    </row>
    <row r="255" spans="1:21" x14ac:dyDescent="0.3">
      <c r="A255" s="443" t="s">
        <v>273</v>
      </c>
      <c r="B255" s="444"/>
      <c r="C255" s="444"/>
      <c r="D255" s="444"/>
      <c r="E255" s="444"/>
      <c r="F255" s="444"/>
      <c r="G255" s="444"/>
      <c r="H255" s="444"/>
      <c r="I255" s="445"/>
      <c r="J255" s="235"/>
      <c r="K255" s="236"/>
      <c r="M255" s="443" t="s">
        <v>274</v>
      </c>
      <c r="N255" s="444"/>
      <c r="O255" s="444"/>
      <c r="P255" s="444"/>
      <c r="Q255" s="444"/>
      <c r="R255" s="444"/>
      <c r="S255" s="444"/>
      <c r="T255" s="235"/>
      <c r="U255" s="236"/>
    </row>
    <row r="256" spans="1:21" x14ac:dyDescent="0.3">
      <c r="A256" s="443" t="s">
        <v>275</v>
      </c>
      <c r="B256" s="444"/>
      <c r="C256" s="444"/>
      <c r="D256" s="444"/>
      <c r="E256" s="444"/>
      <c r="F256" s="444"/>
      <c r="G256" s="444"/>
      <c r="H256" s="444"/>
      <c r="I256" s="445"/>
      <c r="J256" s="235"/>
      <c r="K256" s="236"/>
      <c r="M256" s="443" t="s">
        <v>276</v>
      </c>
      <c r="N256" s="444"/>
      <c r="O256" s="444"/>
      <c r="P256" s="444"/>
      <c r="Q256" s="444"/>
      <c r="R256" s="444"/>
      <c r="S256" s="444"/>
      <c r="T256" s="235"/>
      <c r="U256" s="236"/>
    </row>
    <row r="257" spans="1:21" x14ac:dyDescent="0.3">
      <c r="A257" s="443" t="s">
        <v>277</v>
      </c>
      <c r="B257" s="444"/>
      <c r="C257" s="444"/>
      <c r="D257" s="444"/>
      <c r="E257" s="444"/>
      <c r="F257" s="444"/>
      <c r="G257" s="444"/>
      <c r="H257" s="444"/>
      <c r="I257" s="445"/>
      <c r="J257" s="235"/>
      <c r="K257" s="236"/>
      <c r="M257" s="443"/>
      <c r="N257" s="444"/>
      <c r="O257" s="444"/>
      <c r="P257" s="444"/>
      <c r="Q257" s="444"/>
      <c r="R257" s="444"/>
      <c r="S257" s="444"/>
      <c r="T257" s="235"/>
      <c r="U257" s="236"/>
    </row>
    <row r="258" spans="1:21" x14ac:dyDescent="0.3">
      <c r="A258" s="443" t="s">
        <v>278</v>
      </c>
      <c r="B258" s="444"/>
      <c r="C258" s="444"/>
      <c r="D258" s="444"/>
      <c r="E258" s="444"/>
      <c r="F258" s="444"/>
      <c r="G258" s="444"/>
      <c r="H258" s="444"/>
      <c r="I258" s="445"/>
      <c r="J258" s="235"/>
      <c r="K258" s="236"/>
      <c r="M258" s="443" t="s">
        <v>279</v>
      </c>
      <c r="N258" s="444"/>
      <c r="O258" s="444"/>
      <c r="P258" s="444"/>
      <c r="Q258" s="444"/>
      <c r="R258" s="444"/>
      <c r="S258" s="444"/>
      <c r="T258" s="235"/>
      <c r="U258" s="236"/>
    </row>
    <row r="259" spans="1:21" x14ac:dyDescent="0.3">
      <c r="A259" s="443" t="s">
        <v>280</v>
      </c>
      <c r="B259" s="444"/>
      <c r="C259" s="444"/>
      <c r="D259" s="444"/>
      <c r="E259" s="444"/>
      <c r="F259" s="444"/>
      <c r="G259" s="444"/>
      <c r="H259" s="444"/>
      <c r="I259" s="445"/>
      <c r="J259" s="235"/>
      <c r="K259" s="236"/>
      <c r="M259" s="443" t="s">
        <v>281</v>
      </c>
      <c r="N259" s="444"/>
      <c r="O259" s="444"/>
      <c r="P259" s="444"/>
      <c r="Q259" s="444"/>
      <c r="R259" s="444"/>
      <c r="S259" s="444"/>
      <c r="T259" s="235"/>
      <c r="U259" s="236"/>
    </row>
    <row r="260" spans="1:21" x14ac:dyDescent="0.3">
      <c r="A260" s="443" t="s">
        <v>282</v>
      </c>
      <c r="B260" s="444"/>
      <c r="C260" s="444"/>
      <c r="D260" s="444"/>
      <c r="E260" s="444"/>
      <c r="F260" s="444"/>
      <c r="G260" s="444"/>
      <c r="H260" s="444"/>
      <c r="I260" s="445"/>
      <c r="J260" s="235"/>
      <c r="K260" s="236"/>
      <c r="M260" s="443" t="s">
        <v>283</v>
      </c>
      <c r="N260" s="444"/>
      <c r="O260" s="444"/>
      <c r="P260" s="444"/>
      <c r="Q260" s="444"/>
      <c r="R260" s="444"/>
      <c r="S260" s="444"/>
      <c r="T260" s="235"/>
      <c r="U260" s="236"/>
    </row>
    <row r="261" spans="1:21" x14ac:dyDescent="0.3">
      <c r="A261" s="443" t="s">
        <v>270</v>
      </c>
      <c r="B261" s="444"/>
      <c r="C261" s="444"/>
      <c r="D261" s="444"/>
      <c r="E261" s="444"/>
      <c r="F261" s="444"/>
      <c r="G261" s="444"/>
      <c r="H261" s="444"/>
      <c r="I261" s="445"/>
      <c r="J261" s="235"/>
      <c r="K261" s="236"/>
      <c r="M261" s="443"/>
      <c r="N261" s="444"/>
      <c r="O261" s="444"/>
      <c r="P261" s="444"/>
      <c r="Q261" s="444"/>
      <c r="R261" s="444"/>
      <c r="S261" s="444"/>
      <c r="T261" s="235"/>
      <c r="U261" s="236"/>
    </row>
    <row r="262" spans="1:21" x14ac:dyDescent="0.3">
      <c r="A262" s="471" t="s">
        <v>284</v>
      </c>
      <c r="B262" s="472"/>
      <c r="C262" s="472"/>
      <c r="D262" s="472"/>
      <c r="E262" s="472"/>
      <c r="F262" s="472"/>
      <c r="G262" s="472"/>
      <c r="H262" s="472"/>
      <c r="I262" s="473"/>
      <c r="J262" s="235"/>
      <c r="K262" s="236"/>
      <c r="M262" s="474" t="s">
        <v>285</v>
      </c>
      <c r="N262" s="475"/>
      <c r="O262" s="475"/>
      <c r="P262" s="475"/>
      <c r="Q262" s="475"/>
      <c r="R262" s="475"/>
      <c r="S262" s="475"/>
      <c r="T262" s="237"/>
      <c r="U262" s="238"/>
    </row>
    <row r="263" spans="1:21" ht="20.399999999999999" x14ac:dyDescent="0.3">
      <c r="A263" s="443" t="s">
        <v>286</v>
      </c>
      <c r="B263" s="444"/>
      <c r="C263" s="444"/>
      <c r="D263" s="444"/>
      <c r="E263" s="444"/>
      <c r="F263" s="444"/>
      <c r="G263" s="444"/>
      <c r="H263" s="444"/>
      <c r="I263" s="445"/>
      <c r="J263" s="235"/>
      <c r="K263" s="236"/>
      <c r="M263" s="437" t="s">
        <v>287</v>
      </c>
      <c r="N263" s="438"/>
      <c r="O263" s="438"/>
      <c r="P263" s="438"/>
      <c r="Q263" s="438"/>
      <c r="R263" s="438"/>
      <c r="S263" s="438"/>
      <c r="T263" s="229" t="s">
        <v>208</v>
      </c>
      <c r="U263" s="230" t="s">
        <v>264</v>
      </c>
    </row>
    <row r="264" spans="1:21" x14ac:dyDescent="0.3">
      <c r="A264" s="476"/>
      <c r="B264" s="477"/>
      <c r="C264" s="477"/>
      <c r="D264" s="477"/>
      <c r="E264" s="477"/>
      <c r="F264" s="477"/>
      <c r="G264" s="477"/>
      <c r="H264" s="477"/>
      <c r="I264" s="478"/>
      <c r="J264" s="239"/>
      <c r="K264" s="240"/>
      <c r="M264" s="440" t="s">
        <v>266</v>
      </c>
      <c r="N264" s="441"/>
      <c r="O264" s="441"/>
      <c r="P264" s="441"/>
      <c r="Q264" s="441"/>
      <c r="R264" s="441"/>
      <c r="S264" s="441"/>
      <c r="T264" s="233"/>
      <c r="U264" s="241"/>
    </row>
    <row r="265" spans="1:21" x14ac:dyDescent="0.3">
      <c r="A265" s="474" t="s">
        <v>285</v>
      </c>
      <c r="B265" s="475"/>
      <c r="C265" s="475"/>
      <c r="D265" s="475"/>
      <c r="E265" s="475"/>
      <c r="F265" s="475"/>
      <c r="G265" s="475"/>
      <c r="H265" s="475"/>
      <c r="I265" s="479"/>
      <c r="J265" s="237"/>
      <c r="K265" s="238"/>
      <c r="M265" s="443" t="s">
        <v>288</v>
      </c>
      <c r="N265" s="444"/>
      <c r="O265" s="444"/>
      <c r="P265" s="444"/>
      <c r="Q265" s="444"/>
      <c r="R265" s="444"/>
      <c r="S265" s="444"/>
      <c r="T265" s="235"/>
      <c r="U265" s="242"/>
    </row>
    <row r="266" spans="1:21" ht="20.399999999999999" x14ac:dyDescent="0.3">
      <c r="A266" s="437" t="s">
        <v>289</v>
      </c>
      <c r="B266" s="438"/>
      <c r="C266" s="438"/>
      <c r="D266" s="438"/>
      <c r="E266" s="438"/>
      <c r="F266" s="438"/>
      <c r="G266" s="438"/>
      <c r="H266" s="438"/>
      <c r="I266" s="439"/>
      <c r="J266" s="243" t="s">
        <v>208</v>
      </c>
      <c r="K266" s="230" t="s">
        <v>264</v>
      </c>
      <c r="M266" s="443" t="s">
        <v>290</v>
      </c>
      <c r="N266" s="444"/>
      <c r="O266" s="444"/>
      <c r="P266" s="444"/>
      <c r="Q266" s="444"/>
      <c r="R266" s="444"/>
      <c r="S266" s="444"/>
      <c r="T266" s="235"/>
      <c r="U266" s="242"/>
    </row>
    <row r="267" spans="1:21" x14ac:dyDescent="0.3">
      <c r="A267" s="440" t="s">
        <v>266</v>
      </c>
      <c r="B267" s="441"/>
      <c r="C267" s="441"/>
      <c r="D267" s="441"/>
      <c r="E267" s="441"/>
      <c r="F267" s="441"/>
      <c r="G267" s="441"/>
      <c r="H267" s="441"/>
      <c r="I267" s="442"/>
      <c r="J267" s="233"/>
      <c r="K267" s="244"/>
      <c r="M267" s="443" t="s">
        <v>291</v>
      </c>
      <c r="N267" s="444"/>
      <c r="O267" s="444"/>
      <c r="P267" s="444"/>
      <c r="Q267" s="444"/>
      <c r="R267" s="444"/>
      <c r="S267" s="444"/>
      <c r="T267" s="235"/>
      <c r="U267" s="242"/>
    </row>
    <row r="268" spans="1:21" x14ac:dyDescent="0.3">
      <c r="A268" s="443" t="s">
        <v>292</v>
      </c>
      <c r="B268" s="444"/>
      <c r="C268" s="444"/>
      <c r="D268" s="444"/>
      <c r="E268" s="444"/>
      <c r="F268" s="444"/>
      <c r="G268" s="444"/>
      <c r="H268" s="444"/>
      <c r="I268" s="445"/>
      <c r="J268" s="235"/>
      <c r="K268" s="245"/>
      <c r="M268" s="443" t="s">
        <v>281</v>
      </c>
      <c r="N268" s="444"/>
      <c r="O268" s="444"/>
      <c r="P268" s="444"/>
      <c r="Q268" s="444"/>
      <c r="R268" s="444"/>
      <c r="S268" s="444"/>
      <c r="T268" s="235"/>
      <c r="U268" s="242"/>
    </row>
    <row r="269" spans="1:21" x14ac:dyDescent="0.3">
      <c r="A269" s="443" t="s">
        <v>293</v>
      </c>
      <c r="B269" s="444"/>
      <c r="C269" s="444"/>
      <c r="D269" s="444"/>
      <c r="E269" s="444"/>
      <c r="F269" s="444"/>
      <c r="G269" s="444"/>
      <c r="H269" s="444"/>
      <c r="I269" s="445"/>
      <c r="J269" s="235"/>
      <c r="K269" s="245"/>
      <c r="M269" s="443" t="s">
        <v>294</v>
      </c>
      <c r="N269" s="444"/>
      <c r="O269" s="444"/>
      <c r="P269" s="444"/>
      <c r="Q269" s="444"/>
      <c r="R269" s="444"/>
      <c r="S269" s="444"/>
      <c r="T269" s="235"/>
      <c r="U269" s="242"/>
    </row>
    <row r="270" spans="1:21" x14ac:dyDescent="0.3">
      <c r="A270" s="443" t="s">
        <v>295</v>
      </c>
      <c r="B270" s="444"/>
      <c r="C270" s="444"/>
      <c r="D270" s="444"/>
      <c r="E270" s="444"/>
      <c r="F270" s="444"/>
      <c r="G270" s="444"/>
      <c r="H270" s="444"/>
      <c r="I270" s="445"/>
      <c r="J270" s="235"/>
      <c r="K270" s="245"/>
      <c r="M270" s="443" t="s">
        <v>270</v>
      </c>
      <c r="N270" s="444"/>
      <c r="O270" s="444"/>
      <c r="P270" s="444"/>
      <c r="Q270" s="444"/>
      <c r="R270" s="444"/>
      <c r="S270" s="444"/>
      <c r="T270" s="235"/>
      <c r="U270" s="242"/>
    </row>
    <row r="271" spans="1:21" x14ac:dyDescent="0.3">
      <c r="A271" s="443" t="s">
        <v>296</v>
      </c>
      <c r="B271" s="444"/>
      <c r="C271" s="444"/>
      <c r="D271" s="444"/>
      <c r="E271" s="444"/>
      <c r="F271" s="444"/>
      <c r="G271" s="444"/>
      <c r="H271" s="444"/>
      <c r="I271" s="445"/>
      <c r="J271" s="235"/>
      <c r="K271" s="245"/>
      <c r="M271" s="443"/>
      <c r="N271" s="444"/>
      <c r="O271" s="444"/>
      <c r="P271" s="444"/>
      <c r="Q271" s="444"/>
      <c r="R271" s="444"/>
      <c r="S271" s="444"/>
      <c r="T271" s="235"/>
      <c r="U271" s="242"/>
    </row>
    <row r="272" spans="1:21" x14ac:dyDescent="0.3">
      <c r="A272" s="443" t="s">
        <v>297</v>
      </c>
      <c r="B272" s="444"/>
      <c r="C272" s="444"/>
      <c r="D272" s="444"/>
      <c r="E272" s="444"/>
      <c r="F272" s="444"/>
      <c r="G272" s="444"/>
      <c r="H272" s="444"/>
      <c r="I272" s="445"/>
      <c r="J272" s="235"/>
      <c r="K272" s="245"/>
      <c r="M272" s="443"/>
      <c r="N272" s="444"/>
      <c r="O272" s="444"/>
      <c r="P272" s="444"/>
      <c r="Q272" s="444"/>
      <c r="R272" s="444"/>
      <c r="S272" s="444"/>
      <c r="T272" s="235"/>
      <c r="U272" s="242"/>
    </row>
    <row r="273" spans="1:21" x14ac:dyDescent="0.3">
      <c r="A273" s="443" t="s">
        <v>298</v>
      </c>
      <c r="B273" s="444"/>
      <c r="C273" s="444"/>
      <c r="D273" s="444"/>
      <c r="E273" s="444"/>
      <c r="F273" s="444"/>
      <c r="G273" s="444"/>
      <c r="H273" s="444"/>
      <c r="I273" s="445"/>
      <c r="J273" s="235"/>
      <c r="K273" s="245"/>
      <c r="M273" s="474" t="s">
        <v>285</v>
      </c>
      <c r="N273" s="475"/>
      <c r="O273" s="475"/>
      <c r="P273" s="475"/>
      <c r="Q273" s="475"/>
      <c r="R273" s="475"/>
      <c r="S273" s="475"/>
      <c r="T273" s="237"/>
      <c r="U273" s="238"/>
    </row>
    <row r="274" spans="1:21" ht="20.399999999999999" x14ac:dyDescent="0.3">
      <c r="A274" s="443" t="s">
        <v>299</v>
      </c>
      <c r="B274" s="444"/>
      <c r="C274" s="444"/>
      <c r="D274" s="444"/>
      <c r="E274" s="444"/>
      <c r="F274" s="444"/>
      <c r="G274" s="444"/>
      <c r="H274" s="444"/>
      <c r="I274" s="445"/>
      <c r="J274" s="235"/>
      <c r="K274" s="245"/>
      <c r="M274" s="437" t="s">
        <v>300</v>
      </c>
      <c r="N274" s="438"/>
      <c r="O274" s="438"/>
      <c r="P274" s="438"/>
      <c r="Q274" s="438"/>
      <c r="R274" s="438"/>
      <c r="S274" s="438"/>
      <c r="T274" s="229" t="s">
        <v>208</v>
      </c>
      <c r="U274" s="230" t="s">
        <v>264</v>
      </c>
    </row>
    <row r="275" spans="1:21" x14ac:dyDescent="0.3">
      <c r="A275" s="443" t="s">
        <v>301</v>
      </c>
      <c r="B275" s="444"/>
      <c r="C275" s="444"/>
      <c r="D275" s="444"/>
      <c r="E275" s="444"/>
      <c r="F275" s="444"/>
      <c r="G275" s="444"/>
      <c r="H275" s="444"/>
      <c r="I275" s="445"/>
      <c r="J275" s="235"/>
      <c r="K275" s="245"/>
      <c r="M275" s="440" t="s">
        <v>266</v>
      </c>
      <c r="N275" s="441"/>
      <c r="O275" s="441"/>
      <c r="P275" s="441"/>
      <c r="Q275" s="441"/>
      <c r="R275" s="441"/>
      <c r="S275" s="441"/>
      <c r="T275" s="233"/>
      <c r="U275" s="234"/>
    </row>
    <row r="276" spans="1:21" x14ac:dyDescent="0.3">
      <c r="A276" s="443" t="s">
        <v>302</v>
      </c>
      <c r="B276" s="444"/>
      <c r="C276" s="444"/>
      <c r="D276" s="444"/>
      <c r="E276" s="444"/>
      <c r="F276" s="444"/>
      <c r="G276" s="444"/>
      <c r="H276" s="444"/>
      <c r="I276" s="445"/>
      <c r="J276" s="235"/>
      <c r="K276" s="245"/>
      <c r="M276" s="443" t="s">
        <v>303</v>
      </c>
      <c r="N276" s="444"/>
      <c r="O276" s="444"/>
      <c r="P276" s="444"/>
      <c r="Q276" s="444"/>
      <c r="R276" s="444"/>
      <c r="S276" s="444"/>
      <c r="T276" s="235"/>
      <c r="U276" s="236"/>
    </row>
    <row r="277" spans="1:21" x14ac:dyDescent="0.3">
      <c r="A277" s="443" t="s">
        <v>304</v>
      </c>
      <c r="B277" s="444"/>
      <c r="C277" s="444"/>
      <c r="D277" s="444"/>
      <c r="E277" s="444"/>
      <c r="F277" s="444"/>
      <c r="G277" s="444"/>
      <c r="H277" s="444"/>
      <c r="I277" s="445"/>
      <c r="J277" s="235"/>
      <c r="K277" s="245"/>
      <c r="M277" s="443" t="s">
        <v>293</v>
      </c>
      <c r="N277" s="444"/>
      <c r="O277" s="444"/>
      <c r="P277" s="444"/>
      <c r="Q277" s="444"/>
      <c r="R277" s="444"/>
      <c r="S277" s="444"/>
      <c r="T277" s="235"/>
      <c r="U277" s="236"/>
    </row>
    <row r="278" spans="1:21" x14ac:dyDescent="0.3">
      <c r="A278" s="443" t="s">
        <v>305</v>
      </c>
      <c r="B278" s="444"/>
      <c r="C278" s="444"/>
      <c r="D278" s="444"/>
      <c r="E278" s="444"/>
      <c r="F278" s="444"/>
      <c r="G278" s="444"/>
      <c r="H278" s="444"/>
      <c r="I278" s="445"/>
      <c r="J278" s="235"/>
      <c r="K278" s="245"/>
      <c r="M278" s="443" t="s">
        <v>306</v>
      </c>
      <c r="N278" s="444"/>
      <c r="O278" s="444"/>
      <c r="P278" s="444"/>
      <c r="Q278" s="444"/>
      <c r="R278" s="444"/>
      <c r="S278" s="444"/>
      <c r="T278" s="235"/>
      <c r="U278" s="236"/>
    </row>
    <row r="279" spans="1:21" x14ac:dyDescent="0.3">
      <c r="A279" s="443" t="s">
        <v>307</v>
      </c>
      <c r="B279" s="444"/>
      <c r="C279" s="444"/>
      <c r="D279" s="444"/>
      <c r="E279" s="444"/>
      <c r="F279" s="444"/>
      <c r="G279" s="444"/>
      <c r="H279" s="444"/>
      <c r="I279" s="445"/>
      <c r="J279" s="235"/>
      <c r="K279" s="245"/>
      <c r="M279" s="443" t="s">
        <v>308</v>
      </c>
      <c r="N279" s="444"/>
      <c r="O279" s="444"/>
      <c r="P279" s="444"/>
      <c r="Q279" s="444"/>
      <c r="R279" s="444"/>
      <c r="S279" s="444"/>
      <c r="T279" s="235"/>
      <c r="U279" s="236"/>
    </row>
    <row r="280" spans="1:21" x14ac:dyDescent="0.3">
      <c r="A280" s="443" t="s">
        <v>270</v>
      </c>
      <c r="B280" s="444"/>
      <c r="C280" s="444"/>
      <c r="D280" s="444"/>
      <c r="E280" s="444"/>
      <c r="F280" s="444"/>
      <c r="G280" s="444"/>
      <c r="H280" s="444"/>
      <c r="I280" s="445"/>
      <c r="J280" s="235"/>
      <c r="K280" s="245"/>
      <c r="M280" s="480" t="s">
        <v>309</v>
      </c>
      <c r="N280" s="481"/>
      <c r="O280" s="481"/>
      <c r="P280" s="481"/>
      <c r="Q280" s="481"/>
      <c r="R280" s="481"/>
      <c r="S280" s="482"/>
      <c r="T280" s="235"/>
      <c r="U280" s="236"/>
    </row>
    <row r="281" spans="1:21" x14ac:dyDescent="0.3">
      <c r="A281" s="443"/>
      <c r="B281" s="444"/>
      <c r="C281" s="444"/>
      <c r="D281" s="444"/>
      <c r="E281" s="444"/>
      <c r="F281" s="444"/>
      <c r="G281" s="444"/>
      <c r="H281" s="444"/>
      <c r="I281" s="445"/>
      <c r="J281" s="235"/>
      <c r="K281" s="245"/>
      <c r="M281" s="483" t="s">
        <v>310</v>
      </c>
      <c r="N281" s="484"/>
      <c r="O281" s="484"/>
      <c r="P281" s="484"/>
      <c r="Q281" s="484"/>
      <c r="R281" s="484"/>
      <c r="S281" s="484"/>
      <c r="T281" s="235"/>
      <c r="U281" s="236"/>
    </row>
    <row r="282" spans="1:21" x14ac:dyDescent="0.3">
      <c r="A282" s="443"/>
      <c r="B282" s="444"/>
      <c r="C282" s="444"/>
      <c r="D282" s="444"/>
      <c r="E282" s="444"/>
      <c r="F282" s="444"/>
      <c r="G282" s="444"/>
      <c r="H282" s="444"/>
      <c r="I282" s="445"/>
      <c r="J282" s="239"/>
      <c r="K282" s="246"/>
      <c r="M282" s="443"/>
      <c r="N282" s="444"/>
      <c r="O282" s="444"/>
      <c r="P282" s="444"/>
      <c r="Q282" s="444"/>
      <c r="R282" s="444"/>
      <c r="S282" s="444"/>
      <c r="T282" s="235"/>
      <c r="U282" s="236"/>
    </row>
    <row r="283" spans="1:21" x14ac:dyDescent="0.3">
      <c r="A283" s="474" t="s">
        <v>285</v>
      </c>
      <c r="B283" s="475"/>
      <c r="C283" s="475"/>
      <c r="D283" s="475"/>
      <c r="E283" s="475"/>
      <c r="F283" s="475"/>
      <c r="G283" s="475"/>
      <c r="H283" s="475"/>
      <c r="I283" s="479"/>
      <c r="J283" s="247"/>
      <c r="K283" s="248"/>
      <c r="M283" s="474" t="s">
        <v>285</v>
      </c>
      <c r="N283" s="475"/>
      <c r="O283" s="475"/>
      <c r="P283" s="475"/>
      <c r="Q283" s="475"/>
      <c r="R283" s="475"/>
      <c r="S283" s="475"/>
      <c r="T283" s="237"/>
      <c r="U283" s="238"/>
    </row>
    <row r="284" spans="1:21" x14ac:dyDescent="0.3">
      <c r="A284" s="249"/>
      <c r="B284" s="249"/>
      <c r="C284" s="249"/>
      <c r="D284" s="249"/>
      <c r="E284" s="101"/>
      <c r="F284" s="101"/>
      <c r="G284" s="101"/>
      <c r="H284" s="249"/>
      <c r="I284" s="249"/>
      <c r="J284" s="249"/>
      <c r="K284" s="249"/>
      <c r="L284" s="249"/>
      <c r="M284" s="101"/>
      <c r="N284" s="101"/>
    </row>
    <row r="285" spans="1:21" x14ac:dyDescent="0.3">
      <c r="A285" s="498" t="s">
        <v>311</v>
      </c>
      <c r="B285" s="492"/>
      <c r="C285" s="499"/>
      <c r="D285" s="500" t="s">
        <v>312</v>
      </c>
      <c r="E285" s="492"/>
      <c r="F285" s="492"/>
      <c r="G285" s="492"/>
      <c r="H285" s="492"/>
      <c r="I285" s="492"/>
      <c r="J285" s="492"/>
      <c r="K285" s="492"/>
      <c r="L285" s="492"/>
      <c r="M285" s="492"/>
      <c r="N285" s="492"/>
      <c r="O285" s="492"/>
      <c r="P285" s="492"/>
      <c r="Q285" s="492"/>
      <c r="R285" s="492"/>
      <c r="S285" s="492"/>
      <c r="T285" s="492"/>
      <c r="U285" s="493"/>
    </row>
    <row r="286" spans="1:21" x14ac:dyDescent="0.3">
      <c r="A286" s="494"/>
      <c r="B286" s="495"/>
      <c r="C286" s="501"/>
      <c r="D286" s="502"/>
      <c r="E286" s="496"/>
      <c r="F286" s="496"/>
      <c r="G286" s="496"/>
      <c r="H286" s="496"/>
      <c r="I286" s="496"/>
      <c r="J286" s="496"/>
      <c r="K286" s="496"/>
      <c r="L286" s="496"/>
      <c r="M286" s="496"/>
      <c r="N286" s="496"/>
      <c r="O286" s="496"/>
      <c r="P286" s="496"/>
      <c r="Q286" s="496"/>
      <c r="R286" s="496"/>
      <c r="S286" s="496"/>
      <c r="T286" s="496"/>
      <c r="U286" s="497"/>
    </row>
    <row r="287" spans="1:21" x14ac:dyDescent="0.3">
      <c r="A287" s="485"/>
      <c r="B287" s="486"/>
      <c r="C287" s="487"/>
      <c r="D287" s="488"/>
      <c r="E287" s="489"/>
      <c r="F287" s="489"/>
      <c r="G287" s="489"/>
      <c r="H287" s="489"/>
      <c r="I287" s="489"/>
      <c r="J287" s="489"/>
      <c r="K287" s="489"/>
      <c r="L287" s="489"/>
      <c r="M287" s="489"/>
      <c r="N287" s="489"/>
      <c r="O287" s="489"/>
      <c r="P287" s="489"/>
      <c r="Q287" s="489"/>
      <c r="R287" s="489"/>
      <c r="S287" s="489"/>
      <c r="T287" s="489"/>
      <c r="U287" s="490"/>
    </row>
    <row r="289" spans="1:21" x14ac:dyDescent="0.3">
      <c r="A289" s="491" t="s">
        <v>313</v>
      </c>
      <c r="B289" s="492"/>
      <c r="C289" s="492"/>
      <c r="D289" s="492"/>
      <c r="E289" s="492"/>
      <c r="F289" s="492"/>
      <c r="G289" s="492"/>
      <c r="H289" s="492"/>
      <c r="I289" s="492"/>
      <c r="J289" s="492"/>
      <c r="K289" s="492"/>
      <c r="L289" s="492"/>
      <c r="M289" s="492"/>
      <c r="N289" s="492"/>
      <c r="O289" s="492"/>
      <c r="P289" s="492"/>
      <c r="Q289" s="492"/>
      <c r="R289" s="492"/>
      <c r="S289" s="492"/>
      <c r="T289" s="492"/>
      <c r="U289" s="493"/>
    </row>
    <row r="290" spans="1:21" x14ac:dyDescent="0.3">
      <c r="A290" s="494"/>
      <c r="B290" s="495"/>
      <c r="C290" s="495"/>
      <c r="D290" s="496"/>
      <c r="E290" s="496"/>
      <c r="F290" s="496"/>
      <c r="G290" s="496"/>
      <c r="H290" s="496"/>
      <c r="I290" s="496"/>
      <c r="J290" s="496"/>
      <c r="K290" s="496"/>
      <c r="L290" s="496"/>
      <c r="M290" s="496"/>
      <c r="N290" s="496"/>
      <c r="O290" s="496"/>
      <c r="P290" s="496"/>
      <c r="Q290" s="496"/>
      <c r="R290" s="496"/>
      <c r="S290" s="496"/>
      <c r="T290" s="496"/>
      <c r="U290" s="497"/>
    </row>
    <row r="291" spans="1:21" x14ac:dyDescent="0.3">
      <c r="A291" s="485"/>
      <c r="B291" s="486"/>
      <c r="C291" s="486"/>
      <c r="D291" s="489"/>
      <c r="E291" s="489"/>
      <c r="F291" s="489"/>
      <c r="G291" s="489"/>
      <c r="H291" s="489"/>
      <c r="I291" s="489"/>
      <c r="J291" s="489"/>
      <c r="K291" s="489"/>
      <c r="L291" s="489"/>
      <c r="M291" s="489"/>
      <c r="N291" s="489"/>
      <c r="O291" s="489"/>
      <c r="P291" s="489"/>
      <c r="Q291" s="489"/>
      <c r="R291" s="489"/>
      <c r="S291" s="489"/>
      <c r="T291" s="489"/>
      <c r="U291" s="490"/>
    </row>
  </sheetData>
  <mergeCells count="545">
    <mergeCell ref="N8:P8"/>
    <mergeCell ref="N7:O7"/>
    <mergeCell ref="N9:Q9"/>
    <mergeCell ref="F29:J29"/>
    <mergeCell ref="G69:J69"/>
    <mergeCell ref="G72:H72"/>
    <mergeCell ref="Q70:S70"/>
    <mergeCell ref="Q71:R71"/>
    <mergeCell ref="Q72:S72"/>
    <mergeCell ref="A49:L49"/>
    <mergeCell ref="M49:U49"/>
    <mergeCell ref="G71:H71"/>
    <mergeCell ref="A45:C45"/>
    <mergeCell ref="D45:L45"/>
    <mergeCell ref="M45:O45"/>
    <mergeCell ref="P45:R45"/>
    <mergeCell ref="S45:U45"/>
    <mergeCell ref="A46:C46"/>
    <mergeCell ref="D46:L46"/>
    <mergeCell ref="M46:O46"/>
    <mergeCell ref="P46:R46"/>
    <mergeCell ref="S46:U46"/>
    <mergeCell ref="A43:C43"/>
    <mergeCell ref="D43:L43"/>
    <mergeCell ref="A287:C287"/>
    <mergeCell ref="D287:U287"/>
    <mergeCell ref="A289:U289"/>
    <mergeCell ref="A290:C290"/>
    <mergeCell ref="D290:U290"/>
    <mergeCell ref="A291:C291"/>
    <mergeCell ref="D291:U291"/>
    <mergeCell ref="A283:I283"/>
    <mergeCell ref="M283:S283"/>
    <mergeCell ref="A285:C285"/>
    <mergeCell ref="D285:U285"/>
    <mergeCell ref="A286:C286"/>
    <mergeCell ref="D286:U286"/>
    <mergeCell ref="A280:I280"/>
    <mergeCell ref="M280:S280"/>
    <mergeCell ref="A281:I281"/>
    <mergeCell ref="M281:S281"/>
    <mergeCell ref="A282:I282"/>
    <mergeCell ref="M282:S282"/>
    <mergeCell ref="A277:I277"/>
    <mergeCell ref="M277:S277"/>
    <mergeCell ref="A278:I278"/>
    <mergeCell ref="M278:S278"/>
    <mergeCell ref="A279:I279"/>
    <mergeCell ref="M279:S279"/>
    <mergeCell ref="A274:I274"/>
    <mergeCell ref="M274:S274"/>
    <mergeCell ref="A275:I275"/>
    <mergeCell ref="M275:S275"/>
    <mergeCell ref="A276:I276"/>
    <mergeCell ref="M276:S276"/>
    <mergeCell ref="A271:I271"/>
    <mergeCell ref="M271:S271"/>
    <mergeCell ref="A272:I272"/>
    <mergeCell ref="M272:S272"/>
    <mergeCell ref="A273:I273"/>
    <mergeCell ref="M273:S273"/>
    <mergeCell ref="A268:I268"/>
    <mergeCell ref="M268:S268"/>
    <mergeCell ref="A269:I269"/>
    <mergeCell ref="M269:S269"/>
    <mergeCell ref="A270:I270"/>
    <mergeCell ref="M270:S270"/>
    <mergeCell ref="A265:I265"/>
    <mergeCell ref="M265:S265"/>
    <mergeCell ref="A266:I266"/>
    <mergeCell ref="M266:S266"/>
    <mergeCell ref="A267:I267"/>
    <mergeCell ref="M267:S267"/>
    <mergeCell ref="A262:I262"/>
    <mergeCell ref="M262:S262"/>
    <mergeCell ref="A263:I263"/>
    <mergeCell ref="M263:S263"/>
    <mergeCell ref="A264:I264"/>
    <mergeCell ref="M264:S264"/>
    <mergeCell ref="A259:I259"/>
    <mergeCell ref="M259:S259"/>
    <mergeCell ref="A260:I260"/>
    <mergeCell ref="M260:S260"/>
    <mergeCell ref="A261:I261"/>
    <mergeCell ref="M261:S261"/>
    <mergeCell ref="A256:I256"/>
    <mergeCell ref="M256:S256"/>
    <mergeCell ref="A257:I257"/>
    <mergeCell ref="M257:S257"/>
    <mergeCell ref="A258:I258"/>
    <mergeCell ref="M258:S258"/>
    <mergeCell ref="A253:I253"/>
    <mergeCell ref="M253:S253"/>
    <mergeCell ref="A254:I254"/>
    <mergeCell ref="M254:S254"/>
    <mergeCell ref="A255:I255"/>
    <mergeCell ref="M255:S255"/>
    <mergeCell ref="A250:I250"/>
    <mergeCell ref="M250:S250"/>
    <mergeCell ref="A251:I251"/>
    <mergeCell ref="M251:S251"/>
    <mergeCell ref="A252:I252"/>
    <mergeCell ref="M252:S252"/>
    <mergeCell ref="G243:L243"/>
    <mergeCell ref="M243:U243"/>
    <mergeCell ref="A245:G245"/>
    <mergeCell ref="D246:F248"/>
    <mergeCell ref="H246:J248"/>
    <mergeCell ref="L246:N248"/>
    <mergeCell ref="P246:R248"/>
    <mergeCell ref="T246:U248"/>
    <mergeCell ref="D232:T234"/>
    <mergeCell ref="A239:U239"/>
    <mergeCell ref="A241:L241"/>
    <mergeCell ref="M241:U241"/>
    <mergeCell ref="A242:F242"/>
    <mergeCell ref="G242:L242"/>
    <mergeCell ref="M242:U242"/>
    <mergeCell ref="A229:B229"/>
    <mergeCell ref="C229:D229"/>
    <mergeCell ref="E229:H229"/>
    <mergeCell ref="I229:J229"/>
    <mergeCell ref="K229:L229"/>
    <mergeCell ref="A230:B230"/>
    <mergeCell ref="C230:D230"/>
    <mergeCell ref="E230:H230"/>
    <mergeCell ref="I230:J230"/>
    <mergeCell ref="K230:L230"/>
    <mergeCell ref="A227:B227"/>
    <mergeCell ref="C227:D227"/>
    <mergeCell ref="E227:H227"/>
    <mergeCell ref="I227:J227"/>
    <mergeCell ref="K227:L227"/>
    <mergeCell ref="A228:B228"/>
    <mergeCell ref="C228:D228"/>
    <mergeCell ref="E228:H228"/>
    <mergeCell ref="I228:J228"/>
    <mergeCell ref="K228:L228"/>
    <mergeCell ref="A225:B225"/>
    <mergeCell ref="C225:D225"/>
    <mergeCell ref="E225:H225"/>
    <mergeCell ref="I225:J225"/>
    <mergeCell ref="K225:L225"/>
    <mergeCell ref="A226:B226"/>
    <mergeCell ref="C226:D226"/>
    <mergeCell ref="E226:H226"/>
    <mergeCell ref="I226:J226"/>
    <mergeCell ref="K226:L226"/>
    <mergeCell ref="A223:B223"/>
    <mergeCell ref="C223:D223"/>
    <mergeCell ref="E223:H223"/>
    <mergeCell ref="I223:J223"/>
    <mergeCell ref="K223:L223"/>
    <mergeCell ref="A224:B224"/>
    <mergeCell ref="C224:D224"/>
    <mergeCell ref="E224:H224"/>
    <mergeCell ref="I224:J224"/>
    <mergeCell ref="K224:L224"/>
    <mergeCell ref="A221:B221"/>
    <mergeCell ref="C221:D221"/>
    <mergeCell ref="E221:H221"/>
    <mergeCell ref="I221:J221"/>
    <mergeCell ref="K221:L221"/>
    <mergeCell ref="A222:B222"/>
    <mergeCell ref="C222:D222"/>
    <mergeCell ref="E222:H222"/>
    <mergeCell ref="I222:J222"/>
    <mergeCell ref="K222:L222"/>
    <mergeCell ref="A219:B219"/>
    <mergeCell ref="C219:D219"/>
    <mergeCell ref="E219:H219"/>
    <mergeCell ref="I219:J219"/>
    <mergeCell ref="K219:L219"/>
    <mergeCell ref="A220:B220"/>
    <mergeCell ref="C220:D220"/>
    <mergeCell ref="E220:H220"/>
    <mergeCell ref="I220:J220"/>
    <mergeCell ref="K220:L220"/>
    <mergeCell ref="A217:B217"/>
    <mergeCell ref="C217:D217"/>
    <mergeCell ref="E217:H217"/>
    <mergeCell ref="I217:J217"/>
    <mergeCell ref="K217:L217"/>
    <mergeCell ref="A218:B218"/>
    <mergeCell ref="C218:D218"/>
    <mergeCell ref="E218:H218"/>
    <mergeCell ref="I218:J218"/>
    <mergeCell ref="K218:L218"/>
    <mergeCell ref="A215:B215"/>
    <mergeCell ref="C215:D215"/>
    <mergeCell ref="E215:H215"/>
    <mergeCell ref="I215:J215"/>
    <mergeCell ref="K215:L215"/>
    <mergeCell ref="A216:B216"/>
    <mergeCell ref="C216:D216"/>
    <mergeCell ref="E216:H216"/>
    <mergeCell ref="I216:J216"/>
    <mergeCell ref="K216:L216"/>
    <mergeCell ref="P213:S213"/>
    <mergeCell ref="T213:U213"/>
    <mergeCell ref="A214:B214"/>
    <mergeCell ref="C214:D214"/>
    <mergeCell ref="E214:H214"/>
    <mergeCell ref="I214:J214"/>
    <mergeCell ref="K214:L214"/>
    <mergeCell ref="A213:B213"/>
    <mergeCell ref="C213:D213"/>
    <mergeCell ref="E213:H213"/>
    <mergeCell ref="I213:J213"/>
    <mergeCell ref="K213:L213"/>
    <mergeCell ref="M213:N213"/>
    <mergeCell ref="S150:U150"/>
    <mergeCell ref="A167:U167"/>
    <mergeCell ref="T187:U187"/>
    <mergeCell ref="D205:T208"/>
    <mergeCell ref="I210:P210"/>
    <mergeCell ref="A212:B212"/>
    <mergeCell ref="C212:H212"/>
    <mergeCell ref="I212:L212"/>
    <mergeCell ref="M212:U212"/>
    <mergeCell ref="A148:H148"/>
    <mergeCell ref="A149:H149"/>
    <mergeCell ref="A150:H150"/>
    <mergeCell ref="I150:K150"/>
    <mergeCell ref="M150:N150"/>
    <mergeCell ref="P150:Q150"/>
    <mergeCell ref="A142:H143"/>
    <mergeCell ref="A144:E146"/>
    <mergeCell ref="F144:H146"/>
    <mergeCell ref="S144:U144"/>
    <mergeCell ref="T146:U146"/>
    <mergeCell ref="A147:H147"/>
    <mergeCell ref="A139:H141"/>
    <mergeCell ref="I139:L139"/>
    <mergeCell ref="M139:O139"/>
    <mergeCell ref="P139:R139"/>
    <mergeCell ref="T139:U139"/>
    <mergeCell ref="I140:L141"/>
    <mergeCell ref="M140:O141"/>
    <mergeCell ref="P140:R141"/>
    <mergeCell ref="T141:U141"/>
    <mergeCell ref="A124:C124"/>
    <mergeCell ref="D124:L124"/>
    <mergeCell ref="M124:O124"/>
    <mergeCell ref="P124:R124"/>
    <mergeCell ref="S124:U124"/>
    <mergeCell ref="A138:U138"/>
    <mergeCell ref="A122:C122"/>
    <mergeCell ref="D122:L122"/>
    <mergeCell ref="M122:O122"/>
    <mergeCell ref="P122:R122"/>
    <mergeCell ref="S122:U122"/>
    <mergeCell ref="A123:C123"/>
    <mergeCell ref="D123:L123"/>
    <mergeCell ref="M123:O123"/>
    <mergeCell ref="P123:R123"/>
    <mergeCell ref="S123:U123"/>
    <mergeCell ref="A120:C120"/>
    <mergeCell ref="D120:L120"/>
    <mergeCell ref="M120:O120"/>
    <mergeCell ref="P120:R120"/>
    <mergeCell ref="S120:U120"/>
    <mergeCell ref="A121:C121"/>
    <mergeCell ref="D121:L121"/>
    <mergeCell ref="M121:O121"/>
    <mergeCell ref="P121:R121"/>
    <mergeCell ref="S121:U121"/>
    <mergeCell ref="A118:C118"/>
    <mergeCell ref="D118:L118"/>
    <mergeCell ref="M118:O118"/>
    <mergeCell ref="P118:R118"/>
    <mergeCell ref="S118:U118"/>
    <mergeCell ref="A119:C119"/>
    <mergeCell ref="D119:L119"/>
    <mergeCell ref="M119:O119"/>
    <mergeCell ref="P119:R119"/>
    <mergeCell ref="S119:U119"/>
    <mergeCell ref="A116:C116"/>
    <mergeCell ref="D116:L116"/>
    <mergeCell ref="M116:O116"/>
    <mergeCell ref="P116:R116"/>
    <mergeCell ref="S116:U116"/>
    <mergeCell ref="A117:C117"/>
    <mergeCell ref="D117:L117"/>
    <mergeCell ref="M117:O117"/>
    <mergeCell ref="P117:R117"/>
    <mergeCell ref="S117:U117"/>
    <mergeCell ref="A114:C114"/>
    <mergeCell ref="D114:L114"/>
    <mergeCell ref="M114:O114"/>
    <mergeCell ref="P114:R114"/>
    <mergeCell ref="S114:U114"/>
    <mergeCell ref="A115:C115"/>
    <mergeCell ref="D115:L115"/>
    <mergeCell ref="M115:O115"/>
    <mergeCell ref="P115:R115"/>
    <mergeCell ref="S115:U115"/>
    <mergeCell ref="A112:C112"/>
    <mergeCell ref="D112:L112"/>
    <mergeCell ref="M112:O112"/>
    <mergeCell ref="P112:R112"/>
    <mergeCell ref="S112:U112"/>
    <mergeCell ref="A113:C113"/>
    <mergeCell ref="D113:L113"/>
    <mergeCell ref="M113:O113"/>
    <mergeCell ref="P113:R113"/>
    <mergeCell ref="S113:U113"/>
    <mergeCell ref="A110:C110"/>
    <mergeCell ref="D110:L110"/>
    <mergeCell ref="M110:O110"/>
    <mergeCell ref="P110:R110"/>
    <mergeCell ref="S110:U110"/>
    <mergeCell ref="A111:C111"/>
    <mergeCell ref="D111:L111"/>
    <mergeCell ref="M111:O111"/>
    <mergeCell ref="P111:R111"/>
    <mergeCell ref="S111:U111"/>
    <mergeCell ref="A108:C108"/>
    <mergeCell ref="D108:L108"/>
    <mergeCell ref="M108:O108"/>
    <mergeCell ref="P108:R108"/>
    <mergeCell ref="S108:U108"/>
    <mergeCell ref="A109:C109"/>
    <mergeCell ref="D109:L109"/>
    <mergeCell ref="M109:O109"/>
    <mergeCell ref="P109:R109"/>
    <mergeCell ref="S109:U109"/>
    <mergeCell ref="A106:C106"/>
    <mergeCell ref="D106:L106"/>
    <mergeCell ref="M106:O106"/>
    <mergeCell ref="P106:R106"/>
    <mergeCell ref="S106:U106"/>
    <mergeCell ref="A107:C107"/>
    <mergeCell ref="D107:L107"/>
    <mergeCell ref="M107:O107"/>
    <mergeCell ref="P107:R107"/>
    <mergeCell ref="S107:U107"/>
    <mergeCell ref="A102:C102"/>
    <mergeCell ref="D102:H102"/>
    <mergeCell ref="K102:M102"/>
    <mergeCell ref="N102:O102"/>
    <mergeCell ref="P102:R102"/>
    <mergeCell ref="S102:U102"/>
    <mergeCell ref="A101:C101"/>
    <mergeCell ref="D101:H101"/>
    <mergeCell ref="K101:M101"/>
    <mergeCell ref="N101:O101"/>
    <mergeCell ref="P101:R101"/>
    <mergeCell ref="S101:U101"/>
    <mergeCell ref="A100:C100"/>
    <mergeCell ref="D100:H100"/>
    <mergeCell ref="K100:M100"/>
    <mergeCell ref="N100:O100"/>
    <mergeCell ref="P100:R100"/>
    <mergeCell ref="S100:U100"/>
    <mergeCell ref="A99:C99"/>
    <mergeCell ref="D99:H99"/>
    <mergeCell ref="K99:M99"/>
    <mergeCell ref="N99:O99"/>
    <mergeCell ref="P99:R99"/>
    <mergeCell ref="S99:U99"/>
    <mergeCell ref="A98:C98"/>
    <mergeCell ref="D98:H98"/>
    <mergeCell ref="K98:M98"/>
    <mergeCell ref="N98:O98"/>
    <mergeCell ref="P98:R98"/>
    <mergeCell ref="S98:U98"/>
    <mergeCell ref="A97:C97"/>
    <mergeCell ref="D97:H97"/>
    <mergeCell ref="K97:M97"/>
    <mergeCell ref="N97:O97"/>
    <mergeCell ref="P97:R97"/>
    <mergeCell ref="S97:U97"/>
    <mergeCell ref="A96:C96"/>
    <mergeCell ref="D96:H96"/>
    <mergeCell ref="K96:M96"/>
    <mergeCell ref="N96:O96"/>
    <mergeCell ref="P96:R96"/>
    <mergeCell ref="S96:U96"/>
    <mergeCell ref="A95:C95"/>
    <mergeCell ref="D95:H95"/>
    <mergeCell ref="K95:M95"/>
    <mergeCell ref="N95:O95"/>
    <mergeCell ref="P95:R95"/>
    <mergeCell ref="S95:U95"/>
    <mergeCell ref="A94:C94"/>
    <mergeCell ref="D94:H94"/>
    <mergeCell ref="K94:M94"/>
    <mergeCell ref="N94:O94"/>
    <mergeCell ref="P94:R94"/>
    <mergeCell ref="S94:U94"/>
    <mergeCell ref="A93:C93"/>
    <mergeCell ref="D93:H93"/>
    <mergeCell ref="K93:M93"/>
    <mergeCell ref="N93:O93"/>
    <mergeCell ref="P93:R93"/>
    <mergeCell ref="S93:U93"/>
    <mergeCell ref="A92:C92"/>
    <mergeCell ref="D92:H92"/>
    <mergeCell ref="K92:M92"/>
    <mergeCell ref="N92:O92"/>
    <mergeCell ref="P92:R92"/>
    <mergeCell ref="S92:U92"/>
    <mergeCell ref="A91:C91"/>
    <mergeCell ref="D91:H91"/>
    <mergeCell ref="K91:M91"/>
    <mergeCell ref="N91:O91"/>
    <mergeCell ref="P91:R91"/>
    <mergeCell ref="S91:U91"/>
    <mergeCell ref="A90:C90"/>
    <mergeCell ref="D90:H90"/>
    <mergeCell ref="K90:M90"/>
    <mergeCell ref="N90:O90"/>
    <mergeCell ref="P90:R90"/>
    <mergeCell ref="S90:U90"/>
    <mergeCell ref="A89:C89"/>
    <mergeCell ref="D89:H89"/>
    <mergeCell ref="K89:M89"/>
    <mergeCell ref="N89:O89"/>
    <mergeCell ref="P89:R89"/>
    <mergeCell ref="S89:U89"/>
    <mergeCell ref="A88:C88"/>
    <mergeCell ref="D88:H88"/>
    <mergeCell ref="K88:M88"/>
    <mergeCell ref="N88:O88"/>
    <mergeCell ref="P88:R88"/>
    <mergeCell ref="S88:U88"/>
    <mergeCell ref="A87:C87"/>
    <mergeCell ref="D87:H87"/>
    <mergeCell ref="K87:M87"/>
    <mergeCell ref="N87:O87"/>
    <mergeCell ref="P87:R87"/>
    <mergeCell ref="S87:U87"/>
    <mergeCell ref="S85:U85"/>
    <mergeCell ref="A86:C86"/>
    <mergeCell ref="D86:H86"/>
    <mergeCell ref="I86:J86"/>
    <mergeCell ref="K86:M86"/>
    <mergeCell ref="N86:O86"/>
    <mergeCell ref="P86:R86"/>
    <mergeCell ref="S86:U86"/>
    <mergeCell ref="P84:R84"/>
    <mergeCell ref="A85:C85"/>
    <mergeCell ref="D85:H85"/>
    <mergeCell ref="K85:M85"/>
    <mergeCell ref="N85:O85"/>
    <mergeCell ref="P85:R85"/>
    <mergeCell ref="G74:H74"/>
    <mergeCell ref="G80:H80"/>
    <mergeCell ref="A84:C84"/>
    <mergeCell ref="D84:H84"/>
    <mergeCell ref="I84:J84"/>
    <mergeCell ref="K84:M84"/>
    <mergeCell ref="N84:O84"/>
    <mergeCell ref="Q73:R73"/>
    <mergeCell ref="Q74:S74"/>
    <mergeCell ref="Q75:R75"/>
    <mergeCell ref="Q76:R76"/>
    <mergeCell ref="Q77:R77"/>
    <mergeCell ref="Q78:R78"/>
    <mergeCell ref="Q79:R79"/>
    <mergeCell ref="G82:J82"/>
    <mergeCell ref="M43:O43"/>
    <mergeCell ref="P43:R43"/>
    <mergeCell ref="S43:U43"/>
    <mergeCell ref="A44:C44"/>
    <mergeCell ref="D44:L44"/>
    <mergeCell ref="M44:O44"/>
    <mergeCell ref="P44:R44"/>
    <mergeCell ref="S44:U44"/>
    <mergeCell ref="A41:C41"/>
    <mergeCell ref="D41:L41"/>
    <mergeCell ref="M41:O41"/>
    <mergeCell ref="P41:R41"/>
    <mergeCell ref="S41:U41"/>
    <mergeCell ref="A42:C42"/>
    <mergeCell ref="D42:L42"/>
    <mergeCell ref="M42:O42"/>
    <mergeCell ref="P42:R42"/>
    <mergeCell ref="S42:U42"/>
    <mergeCell ref="A40:C40"/>
    <mergeCell ref="D40:L40"/>
    <mergeCell ref="M40:O40"/>
    <mergeCell ref="P40:R40"/>
    <mergeCell ref="S40:U40"/>
    <mergeCell ref="A20:C20"/>
    <mergeCell ref="D20:H20"/>
    <mergeCell ref="K20:M20"/>
    <mergeCell ref="N20:O20"/>
    <mergeCell ref="P20:R20"/>
    <mergeCell ref="S20:U20"/>
    <mergeCell ref="I32:K32"/>
    <mergeCell ref="R32:U32"/>
    <mergeCell ref="P32:Q32"/>
    <mergeCell ref="M32:O32"/>
    <mergeCell ref="A19:C19"/>
    <mergeCell ref="D19:H19"/>
    <mergeCell ref="K19:M19"/>
    <mergeCell ref="N19:O19"/>
    <mergeCell ref="P19:R19"/>
    <mergeCell ref="S19:U19"/>
    <mergeCell ref="A18:C18"/>
    <mergeCell ref="D18:H18"/>
    <mergeCell ref="K18:M18"/>
    <mergeCell ref="N18:O18"/>
    <mergeCell ref="P18:R18"/>
    <mergeCell ref="S18:U18"/>
    <mergeCell ref="A17:C17"/>
    <mergeCell ref="D17:H17"/>
    <mergeCell ref="K17:M17"/>
    <mergeCell ref="N17:O17"/>
    <mergeCell ref="P17:R17"/>
    <mergeCell ref="S17:U17"/>
    <mergeCell ref="A16:C16"/>
    <mergeCell ref="D16:H16"/>
    <mergeCell ref="K16:M16"/>
    <mergeCell ref="N16:O16"/>
    <mergeCell ref="P16:R16"/>
    <mergeCell ref="S16:U16"/>
    <mergeCell ref="A15:C15"/>
    <mergeCell ref="D15:H15"/>
    <mergeCell ref="K15:M15"/>
    <mergeCell ref="N15:O15"/>
    <mergeCell ref="P15:R15"/>
    <mergeCell ref="S15:U15"/>
    <mergeCell ref="S13:U13"/>
    <mergeCell ref="A14:C14"/>
    <mergeCell ref="D14:H14"/>
    <mergeCell ref="I14:J14"/>
    <mergeCell ref="K14:M14"/>
    <mergeCell ref="N14:O14"/>
    <mergeCell ref="P14:R14"/>
    <mergeCell ref="S14:U14"/>
    <mergeCell ref="P12:R12"/>
    <mergeCell ref="A13:C13"/>
    <mergeCell ref="D13:H13"/>
    <mergeCell ref="K13:M13"/>
    <mergeCell ref="N13:O13"/>
    <mergeCell ref="P13:R13"/>
    <mergeCell ref="E10:G10"/>
    <mergeCell ref="A12:C12"/>
    <mergeCell ref="D12:H12"/>
    <mergeCell ref="I12:J12"/>
    <mergeCell ref="K12:M12"/>
    <mergeCell ref="N12:O12"/>
  </mergeCells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245</xdr:row>
                    <xdr:rowOff>304800</xdr:rowOff>
                  </from>
                  <to>
                    <xdr:col>2</xdr:col>
                    <xdr:colOff>68580</xdr:colOff>
                    <xdr:row>247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6</xdr:col>
                    <xdr:colOff>0</xdr:colOff>
                    <xdr:row>245</xdr:row>
                    <xdr:rowOff>289560</xdr:rowOff>
                  </from>
                  <to>
                    <xdr:col>6</xdr:col>
                    <xdr:colOff>175260</xdr:colOff>
                    <xdr:row>248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10</xdr:col>
                    <xdr:colOff>99060</xdr:colOff>
                    <xdr:row>245</xdr:row>
                    <xdr:rowOff>312420</xdr:rowOff>
                  </from>
                  <to>
                    <xdr:col>10</xdr:col>
                    <xdr:colOff>312420</xdr:colOff>
                    <xdr:row>247</xdr:row>
                    <xdr:rowOff>137160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18</xdr:col>
                    <xdr:colOff>83820</xdr:colOff>
                    <xdr:row>245</xdr:row>
                    <xdr:rowOff>304800</xdr:rowOff>
                  </from>
                  <to>
                    <xdr:col>18</xdr:col>
                    <xdr:colOff>266700</xdr:colOff>
                    <xdr:row>247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14</xdr:col>
                    <xdr:colOff>76200</xdr:colOff>
                    <xdr:row>245</xdr:row>
                    <xdr:rowOff>274320</xdr:rowOff>
                  </from>
                  <to>
                    <xdr:col>15</xdr:col>
                    <xdr:colOff>45720</xdr:colOff>
                    <xdr:row>248</xdr:row>
                    <xdr:rowOff>53340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Pista</dc:creator>
  <cp:lastModifiedBy>Pista</cp:lastModifiedBy>
  <dcterms:created xsi:type="dcterms:W3CDTF">2025-11-27T22:44:33Z</dcterms:created>
  <dcterms:modified xsi:type="dcterms:W3CDTF">2025-11-28T21:01:57Z</dcterms:modified>
</cp:coreProperties>
</file>