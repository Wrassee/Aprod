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WA\Aprod\public\templates\"/>
    </mc:Choice>
  </mc:AlternateContent>
  <xr:revisionPtr revIDLastSave="0" documentId="13_ncr:1_{45EAC9A1-B8F8-451F-A5F7-1CE6CFF1EEB2}" xr6:coauthVersionLast="36" xr6:coauthVersionMax="36" xr10:uidLastSave="{00000000-0000-0000-0000-000000000000}"/>
  <bookViews>
    <workbookView xWindow="0" yWindow="0" windowWidth="41280" windowHeight="13260" xr2:uid="{AC589F6B-EA4E-4A80-B16D-7BF28F718897}"/>
  </bookViews>
  <sheets>
    <sheet name="Munka1" sheetId="3" r:id="rId1"/>
  </sheets>
  <externalReferences>
    <externalReference r:id="rId2"/>
  </externalReferences>
  <definedNames>
    <definedName name="ImageEN8120D">OFFSET('[1]EN 81-20 Allemand'!$AA$167,0,'[1]EN 81-20 Allemand'!$Y$167-1,1,1)</definedName>
    <definedName name="_xlnm.Print_Area" localSheetId="0">Munka1!$A$1:$U$187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50" i="3" l="1"/>
  <c r="M150" i="3"/>
  <c r="I150" i="3"/>
  <c r="T133" i="3"/>
  <c r="S82" i="3"/>
  <c r="Q82" i="3"/>
  <c r="S81" i="3"/>
  <c r="Q81" i="3"/>
  <c r="Q79" i="3"/>
  <c r="Q78" i="3"/>
  <c r="Q77" i="3"/>
  <c r="Q76" i="3"/>
  <c r="Q75" i="3"/>
  <c r="Q74" i="3"/>
  <c r="Q73" i="3"/>
  <c r="Q72" i="3"/>
  <c r="Q71" i="3"/>
  <c r="Q70" i="3"/>
  <c r="E8" i="3"/>
  <c r="E7" i="3"/>
</calcChain>
</file>

<file path=xl/sharedStrings.xml><?xml version="1.0" encoding="utf-8"?>
<sst xmlns="http://schemas.openxmlformats.org/spreadsheetml/2006/main" count="276" uniqueCount="191">
  <si>
    <r>
      <t xml:space="preserve">□ </t>
    </r>
    <r>
      <rPr>
        <b/>
        <sz val="14"/>
        <rFont val="Arial"/>
        <family val="2"/>
      </rPr>
      <t>ENDPRÜFUNG</t>
    </r>
  </si>
  <si>
    <t>F07-440FN</t>
  </si>
  <si>
    <t>für Aufzüge der Typ Gen2 Gien und Madrid</t>
  </si>
  <si>
    <t>gemäss den Normen SIA 370.020 &amp;  EN 81-20:2014</t>
  </si>
  <si>
    <t>AN:</t>
  </si>
  <si>
    <t>Adresse:</t>
  </si>
  <si>
    <t>VON:</t>
  </si>
  <si>
    <t>Anlage Nr.:</t>
  </si>
  <si>
    <t>Ref.</t>
  </si>
  <si>
    <t>Erforderliche Nacharbeiten</t>
  </si>
  <si>
    <t>Mangel</t>
  </si>
  <si>
    <t>Zuständig</t>
  </si>
  <si>
    <t xml:space="preserve">Beheben </t>
  </si>
  <si>
    <t>Behoben am</t>
  </si>
  <si>
    <t>Behoben durch</t>
  </si>
  <si>
    <t xml:space="preserve">Nr. </t>
  </si>
  <si>
    <t>gemäss EN?</t>
  </si>
  <si>
    <t>bis</t>
  </si>
  <si>
    <t xml:space="preserve">(des </t>
  </si>
  <si>
    <t>Protokolls)</t>
  </si>
  <si>
    <t xml:space="preserve"> Ja   Nein</t>
  </si>
  <si>
    <t>Unterschrift</t>
  </si>
  <si>
    <t>(Aufgrund der folgenden Seite)</t>
  </si>
  <si>
    <t xml:space="preserve">Erst nach Bereinigung aller Mängel im Sinne der Norm EN81, die den Aufzug ausser Betrieb </t>
  </si>
  <si>
    <t xml:space="preserve">setzen könnten, darf die Konformitätserklärung unterschrieben und das CE-Zeichen angebracht werden </t>
  </si>
  <si>
    <t xml:space="preserve">Mängel, die nicht zur Ausserbetriebsetzung des Aufzugs führen, sind innerhalb der  </t>
  </si>
  <si>
    <t>festzulegenden Fristen zu beheben.</t>
  </si>
  <si>
    <t>Name des Monteurs : …………………………</t>
  </si>
  <si>
    <t xml:space="preserve">Die Konformitätserklärung kann bei der 1. Prüfung ausgestellt werden: </t>
  </si>
  <si>
    <t>□</t>
  </si>
  <si>
    <t>JA</t>
  </si>
  <si>
    <r>
      <t>□</t>
    </r>
    <r>
      <rPr>
        <sz val="20"/>
        <rFont val="Arial"/>
        <family val="2"/>
      </rPr>
      <t/>
    </r>
  </si>
  <si>
    <t>NEIN</t>
  </si>
  <si>
    <t xml:space="preserve">Die Konformitätserklärung kann bei der 2. Prüfung ausgestellt werden: </t>
  </si>
  <si>
    <t>Prüfung durchgeführt von:   Name:……………………….Datum:………..………...Unterschrift……………………</t>
  </si>
  <si>
    <t>Wiederinbetriebnahme:</t>
  </si>
  <si>
    <t>Erledigt am</t>
  </si>
  <si>
    <t>Erledigt von</t>
  </si>
  <si>
    <t>Nr.</t>
  </si>
  <si>
    <t>Regionaldirektion:……………………………….</t>
  </si>
  <si>
    <t>Tournee : …………………………</t>
  </si>
  <si>
    <t>Die Anlage kann bei der 1. Prüfung durch den FS freigegeben werden:</t>
  </si>
  <si>
    <t>Prüfung durchgeführt von:  Name:……………………….Datum:……......………..Unterschrift……………………</t>
  </si>
  <si>
    <t>Die Anlage kann bei der 2. Prüfung durch den FS freigegeben werden:</t>
  </si>
  <si>
    <t>Prüfung durchgeführt von:  Name:……………………….Datum:………...………..Unterschrift……………………</t>
  </si>
  <si>
    <t>Unterschrift Leiter Wartungsabteilung</t>
  </si>
  <si>
    <t>:</t>
  </si>
  <si>
    <t>………………………………………….</t>
  </si>
  <si>
    <t>Datum:………………..</t>
  </si>
  <si>
    <t>Kenntnisnahme durch FN-Sin</t>
  </si>
  <si>
    <t>Kopie Protokoll an HQ Contract Eng</t>
  </si>
  <si>
    <t>(falls techn. Angaben oder zu korrigierender Plan)</t>
  </si>
  <si>
    <t>Kopie Protokoll an Sec. DM-FN/FS</t>
  </si>
  <si>
    <t>0. ANLAGENTYP / STANDORT</t>
  </si>
  <si>
    <t>Typ:</t>
  </si>
  <si>
    <t>Sicherheit Bauteile</t>
  </si>
  <si>
    <t>+ / -</t>
  </si>
  <si>
    <t>Maschine:</t>
  </si>
  <si>
    <t>Nennlast (kg):</t>
  </si>
  <si>
    <r>
      <rPr>
        <sz val="10"/>
        <rFont val="Calibri"/>
        <family val="2"/>
      </rPr>
      <t>Ü</t>
    </r>
    <r>
      <rPr>
        <sz val="10"/>
        <rFont val="Arial"/>
        <family val="2"/>
      </rPr>
      <t>bergeschwindigkeit auf.:</t>
    </r>
  </si>
  <si>
    <t xml:space="preserve">Personenkapazität: </t>
  </si>
  <si>
    <t>Begrenzer Kabine:</t>
  </si>
  <si>
    <t>Begrenzer GG:</t>
  </si>
  <si>
    <t>Nenngeschwindigkeit (m/s):</t>
  </si>
  <si>
    <t>Fangvorrichtung Kabine:</t>
  </si>
  <si>
    <t>Fangvorrichtung GG:</t>
  </si>
  <si>
    <t>Anzahl Haltestellen:</t>
  </si>
  <si>
    <t>Puffer Kabine:</t>
  </si>
  <si>
    <t xml:space="preserve">Anzahl Eingänge: </t>
  </si>
  <si>
    <t>Puffer GG:</t>
  </si>
  <si>
    <t>Eingänge:</t>
  </si>
  <si>
    <t xml:space="preserve">Schachttürverschluss: </t>
  </si>
  <si>
    <t xml:space="preserve">UCM: </t>
  </si>
  <si>
    <t>Förderhöhe (m):</t>
  </si>
  <si>
    <t xml:space="preserve"> </t>
  </si>
  <si>
    <t>Anzahl Gurten / Breite:</t>
  </si>
  <si>
    <t>/</t>
  </si>
  <si>
    <t>Maschinenraum:</t>
  </si>
  <si>
    <t>Schiene Kabine / GG</t>
  </si>
  <si>
    <t>1. EN81-20 - ADDENDUM AU DOCUMENTS DU FIM</t>
  </si>
  <si>
    <t>+</t>
  </si>
  <si>
    <t>-</t>
  </si>
  <si>
    <t>N</t>
  </si>
  <si>
    <t>Norm</t>
  </si>
  <si>
    <t>EN 81-20</t>
  </si>
  <si>
    <t>1.1</t>
  </si>
  <si>
    <t>0.4.16</t>
  </si>
  <si>
    <t>Ist die Temperatur in Schacht zwischen +5°C und +40°C?</t>
  </si>
  <si>
    <t>1.2</t>
  </si>
  <si>
    <t>5.2.1.4.2</t>
  </si>
  <si>
    <t>Beträgt die Beleuchtung in die Maschienraumzone 200 lux und in den Zugangsbereich 50 lux?</t>
  </si>
  <si>
    <t>1.3</t>
  </si>
  <si>
    <t>5.10.1.2.3</t>
  </si>
  <si>
    <t>Besteht für den Stromkreis über 50 VAC eine 30 mA-FI?</t>
  </si>
  <si>
    <t>5.2.5.7</t>
  </si>
  <si>
    <t>Ist die Kleber mit die Schutzraum auf dem Kabinedach installiert?</t>
  </si>
  <si>
    <t>1.5</t>
  </si>
  <si>
    <t>5.4.8.a</t>
  </si>
  <si>
    <t>Ist den TES weniger als 300mm von Schutzquader installiert?</t>
  </si>
  <si>
    <t>1.6</t>
  </si>
  <si>
    <t>5.2.6.3.2.1</t>
  </si>
  <si>
    <t xml:space="preserve">Stoppt der obere Anschlag den Fahrkorb in Inspektion in einem Mindestabstand </t>
  </si>
  <si>
    <t>m?</t>
  </si>
  <si>
    <t>1.7</t>
  </si>
  <si>
    <t>5.4.7.4</t>
  </si>
  <si>
    <t>Ist die Geländer auf dem Kabinedach konform? (gemessen von Innenkante</t>
  </si>
  <si>
    <t>des Geländers): wenn &lt; 300 nicht nötig, 900 (750) wenn 300... 500, (1100) wenn &gt; 500</t>
  </si>
  <si>
    <t>Werden die effektiven Sicherheitsabstände gemäss den nachstehenden Bedingungen bei</t>
  </si>
  <si>
    <t>vom Gegengewicht vollständig komprimierten Puffern eingehalten?</t>
  </si>
  <si>
    <t>Mass A in mm</t>
  </si>
  <si>
    <t>Mass B in mm</t>
  </si>
  <si>
    <t>Mass C in mm</t>
  </si>
  <si>
    <t>Mass D in mm</t>
  </si>
  <si>
    <t>(Fahrkorbdach am tiefsten Punkt vom Schachtkopf)</t>
  </si>
  <si>
    <t>(oberer Teil des Bogengangs am tiefsten Punkt vom Schachtkopf)</t>
  </si>
  <si>
    <t>(Gleitführung zu äusserem Ende der Führungen)</t>
  </si>
  <si>
    <t>mm</t>
  </si>
  <si>
    <t>≥ 400mm</t>
  </si>
  <si>
    <t>Gemessene Distanz bei Fahrkorb an Schalter 6LS</t>
  </si>
  <si>
    <t>-Nachlaufweg</t>
  </si>
  <si>
    <t>(bis das Gegengewicht den Puffer berührt)</t>
  </si>
  <si>
    <t>≥ 500mm</t>
  </si>
  <si>
    <t>Mass E in mm</t>
  </si>
  <si>
    <t>- GG-Pufferweg</t>
  </si>
  <si>
    <t>- Entf. zw. Fahrkorbschw. und Et.-pod.</t>
  </si>
  <si>
    <t>Effektiver Sicherheitsabstand</t>
  </si>
  <si>
    <t>Minimaler Sicherheitsabstand</t>
  </si>
  <si>
    <t>1.9</t>
  </si>
  <si>
    <t>5.2.5.2.2</t>
  </si>
  <si>
    <t>Gibt es im Schacht Flächen &gt; 150mm? Falls ja, muss eine Vorrichtung vorhanden sein die verhindert</t>
  </si>
  <si>
    <t xml:space="preserve">dass die Fläche betreten werden kann. Dies ist auch anwendbar für Flächen hinter der Kab. Geländer. </t>
  </si>
  <si>
    <t>1.10</t>
  </si>
  <si>
    <t>5.2.1.4.1</t>
  </si>
  <si>
    <t xml:space="preserve">Beträgt die Beleuchtungsstärke min. 50 lux 1m über dem Kabinedach und 1m über  </t>
  </si>
  <si>
    <t>Schachtgrube, anderswo in Schacht 20 lux?</t>
  </si>
  <si>
    <t>1.11</t>
  </si>
  <si>
    <t>5.2.3.15.3</t>
  </si>
  <si>
    <t>Funktioniert(en) die Seile(n) für die Kabinetür(e) öffnen von aussen die Schacht?</t>
  </si>
  <si>
    <t>5.4.10.1</t>
  </si>
  <si>
    <t>Erreicht die Beleuchtung in der Kabine 100 Lux, die Notbeleuchtung 5 lux?</t>
  </si>
  <si>
    <t>1.13</t>
  </si>
  <si>
    <t>5.7.2.3.5</t>
  </si>
  <si>
    <t>Vörderhöhe &gt; 40m: Sind die glied Klauen installiert?</t>
  </si>
  <si>
    <t>1.14</t>
  </si>
  <si>
    <t>5.2.5.5.2</t>
  </si>
  <si>
    <t xml:space="preserve">Ist eine Abtrennung über die gesamte Schachthöhe vorhanden, wenn der Abstand zwischen </t>
  </si>
  <si>
    <t>der Innenkante des Geländers und beweglichen Teilen des benachbarten Aufz. &lt; 500mm beträgt?</t>
  </si>
  <si>
    <t>1.15</t>
  </si>
  <si>
    <t>5.8.1.1</t>
  </si>
  <si>
    <t>Distanz zwischen horizontalem Fahrkorb und Puffer:</t>
  </si>
  <si>
    <t>Durchbiegung Puffer, gemessen:</t>
  </si>
  <si>
    <t>5.2.5.8</t>
  </si>
  <si>
    <t xml:space="preserve">Werden bei Aufsitzen des Fahrkorbs auf den vollständig komprimierten Puffern die </t>
  </si>
  <si>
    <t>Sicherheitsabstände gemäss den nachfolgend beschriebenen Bedingungen eingehalten?</t>
  </si>
  <si>
    <t>a)</t>
  </si>
  <si>
    <t>Vert. Abstand zwischen dem höchsten Punkt eines grubenseitig installierten Bauteils zum FK</t>
  </si>
  <si>
    <t>b)</t>
  </si>
  <si>
    <t>Vert. Abstand vom Grubenboden zum tiefsten Punkt des Fahrkorbbogens</t>
  </si>
  <si>
    <t>c)</t>
  </si>
  <si>
    <t>Vert. Abstand vom Grubenboden zu den unter dem FK installierten Komponenten</t>
  </si>
  <si>
    <t>1.17</t>
  </si>
  <si>
    <t>Ist die Kleber mit die Schutzraum an die unterste Schürtzenblech / Schienebügel installiert?</t>
  </si>
  <si>
    <t>1.18</t>
  </si>
  <si>
    <t xml:space="preserve">Ist den Schutzquader in die Grube (ligend) 700x1000x500 mm / (hockend) 500x700x1000 / </t>
  </si>
  <si>
    <t>(aufrecht) 400x500x2000 vorhanden?</t>
  </si>
  <si>
    <t>1.19</t>
  </si>
  <si>
    <t>Funktioniert die Prozeduren der Grubezutritt (ohne PCS) um unter der Kabine schaffen?</t>
  </si>
  <si>
    <t>1.20</t>
  </si>
  <si>
    <t>5.2.1.5.1</t>
  </si>
  <si>
    <t>Funktioniert die Prozeduren der Grubezutritt (mit PCS) um unter der Kabine schaffen?</t>
  </si>
  <si>
    <t>1.21</t>
  </si>
  <si>
    <t>Ist ein KS an die unterste Tür installiert? Öffnet der KS die Sicherheitkreis?</t>
  </si>
  <si>
    <t>1.22</t>
  </si>
  <si>
    <t>5.2.2.4</t>
  </si>
  <si>
    <t>Ist die Sicherheitkreis unterbrochen wenn die Leiter in Position zu Grubezutritt installiert ist?</t>
  </si>
  <si>
    <t>1.23</t>
  </si>
  <si>
    <t>Ist die Grubeleiter wie in die Instruktion installiert?</t>
  </si>
  <si>
    <t>1.24</t>
  </si>
  <si>
    <t>5.2.5.7.1</t>
  </si>
  <si>
    <t>Ist das Schild mit die Überfahrt an die GG-Traverse installiert?</t>
  </si>
  <si>
    <t>1.25</t>
  </si>
  <si>
    <t>5.2.3.3.c</t>
  </si>
  <si>
    <t>Funktioniert die Seile für die unterste Schachttür von der Grube öffnen?</t>
  </si>
  <si>
    <t>1.26</t>
  </si>
  <si>
    <t>5.2.5.2</t>
  </si>
  <si>
    <t>Räumen unter die Schachtgrube: Ist ein GG-Fang installiert?</t>
  </si>
  <si>
    <t>Ist das Endkontrolle (Kap 14.2 des FIMs Gien) ausgefühlt und an Protokoll beigelegt?</t>
  </si>
  <si>
    <t>Ist das Testbericht (Kap 14.4: Gien / IA-001: Madrid) ausgefühlt und an Protokoll beigelegt?</t>
  </si>
  <si>
    <t>1.29</t>
  </si>
  <si>
    <t>Ist die FPC-Checklist (Kap Y.1: Gien / J.F.: Madrid) ausgefühlt und an Protokoll beigelegt?</t>
  </si>
  <si>
    <t>Prüfung durchgeführt von:   Name:……………………….Datum:………...………..Unterschrift……………………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</si>
</sst>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Calibri"/>
      <family val="2"/>
      <charset val="238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sz val="10"/>
      <color indexed="9"/>
      <name val="Arial"/>
      <family val="2"/>
    </font>
    <font>
      <i/>
      <sz val="10"/>
      <name val="Arial"/>
      <family val="2"/>
    </font>
    <font>
      <sz val="7"/>
      <name val="Arial"/>
      <family val="2"/>
    </font>
    <font>
      <sz val="6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9"/>
      <name val="Lucida Sans Unicode"/>
      <family val="2"/>
    </font>
    <font>
      <b/>
      <sz val="18"/>
      <name val="Lucida Sans Unicode"/>
      <family val="2"/>
    </font>
    <font>
      <b/>
      <sz val="20"/>
      <name val="Arial"/>
      <family val="2"/>
    </font>
    <font>
      <sz val="20"/>
      <name val="Arial"/>
      <family val="2"/>
    </font>
    <font>
      <b/>
      <sz val="19"/>
      <name val="Lucida Sans Unicode"/>
      <family val="2"/>
    </font>
    <font>
      <b/>
      <sz val="10"/>
      <color indexed="8"/>
      <name val="Arial"/>
      <family val="2"/>
    </font>
    <font>
      <b/>
      <sz val="12"/>
      <color indexed="9"/>
      <name val="Arial"/>
      <family val="2"/>
    </font>
    <font>
      <sz val="10"/>
      <color indexed="9"/>
      <name val="Arial"/>
      <family val="2"/>
    </font>
    <font>
      <b/>
      <sz val="10"/>
      <name val="Arial"/>
      <family val="2"/>
    </font>
    <font>
      <sz val="10"/>
      <name val="Calibri"/>
      <family val="2"/>
    </font>
    <font>
      <sz val="7"/>
      <color indexed="9"/>
      <name val="Arial"/>
      <family val="2"/>
    </font>
    <font>
      <b/>
      <sz val="7"/>
      <name val="Arial"/>
      <family val="2"/>
    </font>
    <font>
      <sz val="10"/>
      <color indexed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58">
    <xf numFmtId="0" fontId="0" fillId="0" borderId="0" xfId="0"/>
    <xf numFmtId="0" fontId="2" fillId="2" borderId="1" xfId="1" applyFont="1" applyFill="1" applyBorder="1" applyProtection="1">
      <protection hidden="1"/>
    </xf>
    <xf numFmtId="0" fontId="1" fillId="2" borderId="2" xfId="1" applyFill="1" applyBorder="1" applyProtection="1">
      <protection hidden="1"/>
    </xf>
    <xf numFmtId="0" fontId="1" fillId="2" borderId="3" xfId="1" applyFill="1" applyBorder="1" applyProtection="1">
      <protection hidden="1"/>
    </xf>
    <xf numFmtId="0" fontId="4" fillId="0" borderId="1" xfId="1" applyFont="1" applyBorder="1" applyAlignment="1" applyProtection="1">
      <alignment horizontal="left"/>
      <protection hidden="1"/>
    </xf>
    <xf numFmtId="0" fontId="4" fillId="0" borderId="2" xfId="1" applyFont="1" applyBorder="1" applyAlignment="1" applyProtection="1">
      <alignment horizontal="left"/>
      <protection hidden="1"/>
    </xf>
    <xf numFmtId="0" fontId="1" fillId="0" borderId="2" xfId="1" applyBorder="1" applyProtection="1">
      <protection hidden="1"/>
    </xf>
    <xf numFmtId="0" fontId="1" fillId="0" borderId="3" xfId="1" applyBorder="1" applyProtection="1">
      <protection hidden="1"/>
    </xf>
    <xf numFmtId="0" fontId="2" fillId="2" borderId="4" xfId="1" applyFont="1" applyFill="1" applyBorder="1" applyProtection="1">
      <protection hidden="1"/>
    </xf>
    <xf numFmtId="0" fontId="1" fillId="2" borderId="0" xfId="1" applyFill="1" applyProtection="1">
      <protection hidden="1"/>
    </xf>
    <xf numFmtId="0" fontId="1" fillId="2" borderId="5" xfId="1" applyFill="1" applyBorder="1" applyProtection="1">
      <protection hidden="1"/>
    </xf>
    <xf numFmtId="0" fontId="4" fillId="0" borderId="0" xfId="1" applyFont="1" applyProtection="1">
      <protection hidden="1"/>
    </xf>
    <xf numFmtId="0" fontId="1" fillId="2" borderId="4" xfId="1" applyFill="1" applyBorder="1" applyProtection="1">
      <protection hidden="1"/>
    </xf>
    <xf numFmtId="0" fontId="5" fillId="0" borderId="4" xfId="1" applyFont="1" applyBorder="1" applyProtection="1">
      <protection hidden="1"/>
    </xf>
    <xf numFmtId="0" fontId="5" fillId="0" borderId="0" xfId="1" applyFont="1" applyProtection="1">
      <protection hidden="1"/>
    </xf>
    <xf numFmtId="0" fontId="3" fillId="2" borderId="4" xfId="1" applyFont="1" applyFill="1" applyBorder="1" applyProtection="1">
      <protection hidden="1"/>
    </xf>
    <xf numFmtId="0" fontId="5" fillId="0" borderId="0" xfId="1" applyFont="1" applyAlignment="1" applyProtection="1">
      <alignment horizontal="right"/>
      <protection hidden="1"/>
    </xf>
    <xf numFmtId="0" fontId="6" fillId="2" borderId="6" xfId="1" applyFont="1" applyFill="1" applyBorder="1" applyProtection="1">
      <protection hidden="1"/>
    </xf>
    <xf numFmtId="0" fontId="1" fillId="2" borderId="7" xfId="1" applyFill="1" applyBorder="1" applyProtection="1">
      <protection hidden="1"/>
    </xf>
    <xf numFmtId="0" fontId="1" fillId="2" borderId="8" xfId="1" applyFill="1" applyBorder="1" applyProtection="1">
      <protection hidden="1"/>
    </xf>
    <xf numFmtId="0" fontId="1" fillId="0" borderId="6" xfId="1" applyBorder="1" applyProtection="1">
      <protection hidden="1"/>
    </xf>
    <xf numFmtId="0" fontId="6" fillId="0" borderId="4" xfId="1" applyFont="1" applyBorder="1" applyProtection="1">
      <protection hidden="1"/>
    </xf>
    <xf numFmtId="0" fontId="7" fillId="3" borderId="4" xfId="1" applyFont="1" applyFill="1" applyBorder="1" applyProtection="1">
      <protection hidden="1"/>
    </xf>
    <xf numFmtId="0" fontId="7" fillId="3" borderId="0" xfId="1" applyFont="1" applyFill="1" applyProtection="1">
      <protection hidden="1"/>
    </xf>
    <xf numFmtId="0" fontId="7" fillId="3" borderId="5" xfId="1" applyFont="1" applyFill="1" applyBorder="1" applyProtection="1">
      <protection hidden="1"/>
    </xf>
    <xf numFmtId="0" fontId="1" fillId="4" borderId="0" xfId="1" applyFill="1" applyProtection="1">
      <protection hidden="1"/>
    </xf>
    <xf numFmtId="0" fontId="8" fillId="0" borderId="4" xfId="1" applyFont="1" applyBorder="1" applyProtection="1">
      <protection hidden="1"/>
    </xf>
    <xf numFmtId="0" fontId="8" fillId="0" borderId="0" xfId="1" applyFont="1" applyProtection="1">
      <protection hidden="1"/>
    </xf>
    <xf numFmtId="0" fontId="8" fillId="0" borderId="5" xfId="1" applyFont="1" applyBorder="1" applyProtection="1">
      <protection hidden="1"/>
    </xf>
    <xf numFmtId="0" fontId="1" fillId="0" borderId="4" xfId="1" applyBorder="1" applyProtection="1">
      <protection hidden="1"/>
    </xf>
    <xf numFmtId="0" fontId="1" fillId="0" borderId="12" xfId="1" applyBorder="1" applyProtection="1">
      <protection hidden="1"/>
    </xf>
    <xf numFmtId="0" fontId="1" fillId="0" borderId="13" xfId="1" applyBorder="1" applyProtection="1">
      <protection hidden="1"/>
    </xf>
    <xf numFmtId="0" fontId="11" fillId="0" borderId="4" xfId="1" applyFont="1" applyBorder="1" applyProtection="1">
      <protection hidden="1"/>
    </xf>
    <xf numFmtId="49" fontId="9" fillId="0" borderId="0" xfId="1" applyNumberFormat="1" applyFont="1" applyAlignment="1" applyProtection="1">
      <alignment horizontal="left"/>
      <protection hidden="1"/>
    </xf>
    <xf numFmtId="49" fontId="9" fillId="0" borderId="5" xfId="1" applyNumberFormat="1" applyFont="1" applyBorder="1" applyAlignment="1" applyProtection="1">
      <alignment horizontal="left"/>
      <protection hidden="1"/>
    </xf>
    <xf numFmtId="0" fontId="12" fillId="5" borderId="4" xfId="1" applyFont="1" applyFill="1" applyBorder="1" applyProtection="1">
      <protection hidden="1"/>
    </xf>
    <xf numFmtId="0" fontId="1" fillId="5" borderId="0" xfId="1" applyFill="1" applyProtection="1">
      <protection hidden="1"/>
    </xf>
    <xf numFmtId="49" fontId="1" fillId="5" borderId="0" xfId="1" applyNumberFormat="1" applyFill="1" applyProtection="1">
      <protection hidden="1"/>
    </xf>
    <xf numFmtId="49" fontId="1" fillId="5" borderId="0" xfId="1" applyNumberFormat="1" applyFill="1" applyAlignment="1" applyProtection="1">
      <alignment horizontal="center"/>
      <protection hidden="1"/>
    </xf>
    <xf numFmtId="0" fontId="13" fillId="5" borderId="0" xfId="1" applyFont="1" applyFill="1" applyProtection="1">
      <protection hidden="1"/>
    </xf>
    <xf numFmtId="0" fontId="14" fillId="5" borderId="0" xfId="1" applyFont="1" applyFill="1" applyProtection="1">
      <protection hidden="1"/>
    </xf>
    <xf numFmtId="0" fontId="15" fillId="5" borderId="0" xfId="1" applyFont="1" applyFill="1" applyAlignment="1" applyProtection="1">
      <alignment horizontal="center"/>
      <protection hidden="1"/>
    </xf>
    <xf numFmtId="0" fontId="4" fillId="5" borderId="0" xfId="1" applyFont="1" applyFill="1" applyAlignment="1" applyProtection="1">
      <alignment horizontal="left"/>
      <protection hidden="1"/>
    </xf>
    <xf numFmtId="0" fontId="1" fillId="5" borderId="5" xfId="1" applyFill="1" applyBorder="1" applyProtection="1">
      <protection hidden="1"/>
    </xf>
    <xf numFmtId="0" fontId="17" fillId="5" borderId="0" xfId="1" applyFont="1" applyFill="1" applyProtection="1">
      <protection hidden="1"/>
    </xf>
    <xf numFmtId="0" fontId="12" fillId="5" borderId="0" xfId="1" applyFont="1" applyFill="1" applyProtection="1">
      <protection hidden="1"/>
    </xf>
    <xf numFmtId="0" fontId="4" fillId="0" borderId="4" xfId="1" applyFont="1" applyBorder="1" applyProtection="1">
      <protection hidden="1"/>
    </xf>
    <xf numFmtId="0" fontId="11" fillId="0" borderId="0" xfId="1" applyFont="1" applyProtection="1">
      <protection hidden="1"/>
    </xf>
    <xf numFmtId="0" fontId="18" fillId="0" borderId="7" xfId="1" applyFont="1" applyBorder="1" applyProtection="1">
      <protection hidden="1"/>
    </xf>
    <xf numFmtId="0" fontId="19" fillId="3" borderId="14" xfId="1" applyFont="1" applyFill="1" applyBorder="1" applyProtection="1">
      <protection hidden="1"/>
    </xf>
    <xf numFmtId="0" fontId="20" fillId="3" borderId="15" xfId="1" applyFont="1" applyFill="1" applyBorder="1" applyProtection="1">
      <protection hidden="1"/>
    </xf>
    <xf numFmtId="0" fontId="20" fillId="3" borderId="16" xfId="1" applyFont="1" applyFill="1" applyBorder="1" applyProtection="1">
      <protection hidden="1"/>
    </xf>
    <xf numFmtId="0" fontId="1" fillId="0" borderId="1" xfId="1" applyBorder="1" applyProtection="1">
      <protection hidden="1"/>
    </xf>
    <xf numFmtId="49" fontId="1" fillId="4" borderId="0" xfId="1" applyNumberFormat="1" applyFill="1" applyProtection="1">
      <protection hidden="1"/>
    </xf>
    <xf numFmtId="0" fontId="21" fillId="0" borderId="7" xfId="1" applyFont="1" applyBorder="1" applyProtection="1">
      <protection hidden="1"/>
    </xf>
    <xf numFmtId="0" fontId="21" fillId="0" borderId="5" xfId="1" quotePrefix="1" applyFont="1" applyBorder="1" applyProtection="1">
      <protection hidden="1"/>
    </xf>
    <xf numFmtId="49" fontId="1" fillId="0" borderId="0" xfId="1" applyNumberFormat="1" applyProtection="1">
      <protection hidden="1"/>
    </xf>
    <xf numFmtId="0" fontId="1" fillId="0" borderId="16" xfId="1" applyBorder="1" applyProtection="1">
      <protection hidden="1"/>
    </xf>
    <xf numFmtId="0" fontId="1" fillId="0" borderId="0" xfId="1" quotePrefix="1" applyAlignment="1" applyProtection="1">
      <alignment horizontal="center"/>
      <protection hidden="1"/>
    </xf>
    <xf numFmtId="0" fontId="19" fillId="3" borderId="4" xfId="1" applyFont="1" applyFill="1" applyBorder="1" applyProtection="1">
      <protection hidden="1"/>
    </xf>
    <xf numFmtId="0" fontId="20" fillId="3" borderId="17" xfId="1" applyFont="1" applyFill="1" applyBorder="1" applyProtection="1">
      <protection hidden="1"/>
    </xf>
    <xf numFmtId="0" fontId="20" fillId="3" borderId="0" xfId="1" applyFont="1" applyFill="1" applyProtection="1">
      <protection hidden="1"/>
    </xf>
    <xf numFmtId="49" fontId="23" fillId="3" borderId="17" xfId="1" applyNumberFormat="1" applyFont="1" applyFill="1" applyBorder="1" applyAlignment="1" applyProtection="1">
      <alignment horizontal="center"/>
      <protection hidden="1"/>
    </xf>
    <xf numFmtId="0" fontId="20" fillId="3" borderId="17" xfId="1" applyFont="1" applyFill="1" applyBorder="1" applyAlignment="1" applyProtection="1">
      <alignment horizontal="center"/>
      <protection hidden="1"/>
    </xf>
    <xf numFmtId="0" fontId="20" fillId="3" borderId="5" xfId="1" applyFont="1" applyFill="1" applyBorder="1" applyProtection="1">
      <protection hidden="1"/>
    </xf>
    <xf numFmtId="0" fontId="1" fillId="0" borderId="0" xfId="1" applyAlignment="1">
      <alignment horizontal="center" vertical="center"/>
    </xf>
    <xf numFmtId="0" fontId="4" fillId="0" borderId="18" xfId="1" applyFont="1" applyBorder="1" applyAlignment="1" applyProtection="1">
      <alignment horizontal="center"/>
      <protection hidden="1"/>
    </xf>
    <xf numFmtId="0" fontId="24" fillId="0" borderId="3" xfId="1" applyFont="1" applyBorder="1" applyAlignment="1" applyProtection="1">
      <alignment horizontal="center"/>
      <protection hidden="1"/>
    </xf>
    <xf numFmtId="0" fontId="1" fillId="0" borderId="3" xfId="1" applyBorder="1" applyAlignment="1" applyProtection="1">
      <alignment horizontal="center"/>
      <protection hidden="1"/>
    </xf>
    <xf numFmtId="0" fontId="9" fillId="0" borderId="3" xfId="1" applyFont="1" applyBorder="1" applyAlignment="1" applyProtection="1">
      <alignment horizontal="center"/>
      <protection hidden="1"/>
    </xf>
    <xf numFmtId="0" fontId="24" fillId="0" borderId="19" xfId="1" applyFont="1" applyBorder="1" applyAlignment="1" applyProtection="1">
      <alignment horizontal="center"/>
      <protection hidden="1"/>
    </xf>
    <xf numFmtId="0" fontId="9" fillId="0" borderId="19" xfId="1" applyFont="1" applyBorder="1" applyAlignment="1" applyProtection="1">
      <alignment horizontal="center"/>
      <protection hidden="1"/>
    </xf>
    <xf numFmtId="0" fontId="9" fillId="0" borderId="8" xfId="1" applyFont="1" applyBorder="1" applyAlignment="1" applyProtection="1">
      <alignment horizontal="center"/>
      <protection hidden="1"/>
    </xf>
    <xf numFmtId="0" fontId="4" fillId="0" borderId="12" xfId="1" applyFont="1" applyBorder="1" applyAlignment="1" applyProtection="1">
      <alignment horizontal="center"/>
      <protection hidden="1"/>
    </xf>
    <xf numFmtId="0" fontId="25" fillId="0" borderId="15" xfId="1" applyFont="1" applyBorder="1" applyProtection="1">
      <protection hidden="1"/>
    </xf>
    <xf numFmtId="0" fontId="1" fillId="0" borderId="15" xfId="1" applyBorder="1" applyProtection="1">
      <protection hidden="1"/>
    </xf>
    <xf numFmtId="0" fontId="9" fillId="0" borderId="12" xfId="1" applyFont="1" applyBorder="1" applyAlignment="1" applyProtection="1">
      <alignment horizontal="center"/>
      <protection hidden="1"/>
    </xf>
    <xf numFmtId="0" fontId="1" fillId="0" borderId="14" xfId="1" applyBorder="1"/>
    <xf numFmtId="0" fontId="1" fillId="0" borderId="18" xfId="1" applyBorder="1" applyAlignment="1" applyProtection="1">
      <alignment horizontal="center"/>
      <protection hidden="1"/>
    </xf>
    <xf numFmtId="0" fontId="1" fillId="0" borderId="2" xfId="1" applyBorder="1" applyAlignment="1" applyProtection="1">
      <alignment horizontal="center"/>
      <protection hidden="1"/>
    </xf>
    <xf numFmtId="49" fontId="9" fillId="0" borderId="18" xfId="1" applyNumberFormat="1" applyFont="1" applyBorder="1" applyAlignment="1" applyProtection="1">
      <alignment horizontal="center"/>
      <protection hidden="1"/>
    </xf>
    <xf numFmtId="0" fontId="25" fillId="0" borderId="2" xfId="1" applyFont="1" applyBorder="1" applyProtection="1">
      <protection hidden="1"/>
    </xf>
    <xf numFmtId="0" fontId="4" fillId="0" borderId="19" xfId="1" applyFont="1" applyBorder="1" applyAlignment="1" applyProtection="1">
      <alignment horizontal="center"/>
      <protection hidden="1"/>
    </xf>
    <xf numFmtId="0" fontId="1" fillId="0" borderId="19" xfId="1" applyBorder="1" applyAlignment="1" applyProtection="1">
      <alignment horizontal="center"/>
      <protection hidden="1"/>
    </xf>
    <xf numFmtId="49" fontId="9" fillId="0" borderId="19" xfId="1" applyNumberFormat="1" applyFont="1" applyBorder="1" applyAlignment="1" applyProtection="1">
      <alignment horizontal="center"/>
      <protection hidden="1"/>
    </xf>
    <xf numFmtId="0" fontId="25" fillId="0" borderId="7" xfId="1" applyFont="1" applyBorder="1" applyProtection="1">
      <protection hidden="1"/>
    </xf>
    <xf numFmtId="164" fontId="9" fillId="0" borderId="18" xfId="1" applyNumberFormat="1" applyFont="1" applyBorder="1" applyAlignment="1" applyProtection="1">
      <alignment horizontal="center"/>
      <protection hidden="1"/>
    </xf>
    <xf numFmtId="0" fontId="1" fillId="0" borderId="0" xfId="1"/>
    <xf numFmtId="2" fontId="9" fillId="0" borderId="19" xfId="1" applyNumberFormat="1" applyFont="1" applyBorder="1" applyAlignment="1" applyProtection="1">
      <alignment horizontal="center"/>
      <protection hidden="1"/>
    </xf>
    <xf numFmtId="0" fontId="1" fillId="0" borderId="6" xfId="1" applyBorder="1"/>
    <xf numFmtId="0" fontId="21" fillId="0" borderId="18" xfId="1" applyFont="1" applyBorder="1" applyAlignment="1" applyProtection="1">
      <alignment vertical="center"/>
      <protection hidden="1"/>
    </xf>
    <xf numFmtId="0" fontId="9" fillId="0" borderId="17" xfId="1" applyFont="1" applyBorder="1" applyAlignment="1" applyProtection="1">
      <alignment vertical="center" wrapText="1"/>
      <protection hidden="1"/>
    </xf>
    <xf numFmtId="0" fontId="9" fillId="0" borderId="6" xfId="1" applyFont="1" applyBorder="1" applyAlignment="1" applyProtection="1">
      <alignment vertical="center" wrapText="1"/>
      <protection hidden="1"/>
    </xf>
    <xf numFmtId="0" fontId="1" fillId="0" borderId="8" xfId="1" applyBorder="1" applyAlignment="1" applyProtection="1">
      <alignment horizontal="center" vertical="center"/>
      <protection hidden="1"/>
    </xf>
    <xf numFmtId="0" fontId="9" fillId="0" borderId="19" xfId="1" applyFont="1" applyBorder="1" applyAlignment="1" applyProtection="1">
      <alignment vertical="center" wrapText="1"/>
      <protection hidden="1"/>
    </xf>
    <xf numFmtId="0" fontId="1" fillId="0" borderId="0" xfId="1" applyAlignment="1" applyProtection="1">
      <alignment horizontal="center" vertical="center"/>
      <protection hidden="1"/>
    </xf>
    <xf numFmtId="0" fontId="1" fillId="0" borderId="5" xfId="1" applyBorder="1" applyAlignment="1" applyProtection="1">
      <alignment horizontal="center" vertical="center"/>
      <protection hidden="1"/>
    </xf>
    <xf numFmtId="0" fontId="1" fillId="0" borderId="4" xfId="1" applyBorder="1" applyAlignment="1" applyProtection="1">
      <alignment horizontal="center" vertical="center"/>
      <protection hidden="1"/>
    </xf>
    <xf numFmtId="0" fontId="25" fillId="0" borderId="0" xfId="1" applyFont="1" applyProtection="1">
      <protection hidden="1"/>
    </xf>
    <xf numFmtId="0" fontId="1" fillId="0" borderId="16" xfId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14" xfId="1" applyBorder="1" applyProtection="1">
      <protection hidden="1"/>
    </xf>
    <xf numFmtId="0" fontId="1" fillId="0" borderId="6" xfId="1" applyBorder="1" applyAlignment="1" applyProtection="1">
      <alignment horizontal="center" vertical="center"/>
      <protection hidden="1"/>
    </xf>
    <xf numFmtId="0" fontId="1" fillId="0" borderId="25" xfId="1" applyBorder="1" applyProtection="1">
      <protection hidden="1"/>
    </xf>
    <xf numFmtId="0" fontId="1" fillId="0" borderId="24" xfId="1" applyBorder="1" applyProtection="1">
      <protection hidden="1"/>
    </xf>
    <xf numFmtId="0" fontId="1" fillId="0" borderId="26" xfId="1" applyBorder="1" applyProtection="1">
      <protection hidden="1"/>
    </xf>
    <xf numFmtId="0" fontId="1" fillId="0" borderId="27" xfId="1" applyBorder="1" applyAlignment="1">
      <alignment horizontal="center" vertical="center"/>
    </xf>
    <xf numFmtId="0" fontId="4" fillId="0" borderId="17" xfId="1" applyFont="1" applyBorder="1" applyAlignment="1" applyProtection="1">
      <alignment horizontal="center"/>
      <protection hidden="1"/>
    </xf>
    <xf numFmtId="0" fontId="1" fillId="0" borderId="17" xfId="1" applyBorder="1" applyAlignment="1" applyProtection="1">
      <alignment horizontal="center"/>
      <protection hidden="1"/>
    </xf>
    <xf numFmtId="49" fontId="9" fillId="0" borderId="17" xfId="1" applyNumberFormat="1" applyFont="1" applyBorder="1" applyAlignment="1" applyProtection="1">
      <alignment horizontal="center"/>
      <protection hidden="1"/>
    </xf>
    <xf numFmtId="0" fontId="25" fillId="0" borderId="7" xfId="1" quotePrefix="1" applyFont="1" applyBorder="1" applyProtection="1">
      <protection hidden="1"/>
    </xf>
    <xf numFmtId="49" fontId="9" fillId="0" borderId="3" xfId="1" applyNumberFormat="1" applyFont="1" applyBorder="1" applyAlignment="1" applyProtection="1">
      <alignment horizontal="center"/>
      <protection hidden="1"/>
    </xf>
    <xf numFmtId="0" fontId="25" fillId="0" borderId="2" xfId="0" applyFont="1" applyBorder="1" applyProtection="1">
      <protection hidden="1"/>
    </xf>
    <xf numFmtId="0" fontId="1" fillId="0" borderId="28" xfId="1" applyBorder="1" applyProtection="1">
      <protection hidden="1"/>
    </xf>
    <xf numFmtId="0" fontId="1" fillId="0" borderId="29" xfId="1" applyBorder="1" applyProtection="1">
      <protection hidden="1"/>
    </xf>
    <xf numFmtId="0" fontId="1" fillId="0" borderId="30" xfId="1" applyBorder="1" applyProtection="1">
      <protection hidden="1"/>
    </xf>
    <xf numFmtId="0" fontId="1" fillId="0" borderId="31" xfId="1" applyBorder="1" applyProtection="1">
      <protection hidden="1"/>
    </xf>
    <xf numFmtId="0" fontId="25" fillId="0" borderId="7" xfId="0" applyFont="1" applyBorder="1" applyProtection="1">
      <protection hidden="1"/>
    </xf>
    <xf numFmtId="0" fontId="1" fillId="0" borderId="32" xfId="1" applyBorder="1" applyProtection="1">
      <protection hidden="1"/>
    </xf>
    <xf numFmtId="0" fontId="1" fillId="0" borderId="23" xfId="1" applyBorder="1" applyProtection="1">
      <protection hidden="1"/>
    </xf>
    <xf numFmtId="0" fontId="1" fillId="0" borderId="33" xfId="1" applyBorder="1" applyProtection="1">
      <protection hidden="1"/>
    </xf>
    <xf numFmtId="2" fontId="9" fillId="0" borderId="3" xfId="1" applyNumberFormat="1" applyFont="1" applyBorder="1" applyAlignment="1" applyProtection="1">
      <alignment horizontal="center"/>
      <protection hidden="1"/>
    </xf>
    <xf numFmtId="2" fontId="9" fillId="0" borderId="8" xfId="1" applyNumberFormat="1" applyFont="1" applyBorder="1" applyAlignment="1" applyProtection="1">
      <alignment horizontal="center"/>
      <protection hidden="1"/>
    </xf>
    <xf numFmtId="0" fontId="1" fillId="0" borderId="2" xfId="0" applyFont="1" applyBorder="1" applyProtection="1">
      <protection hidden="1"/>
    </xf>
    <xf numFmtId="0" fontId="21" fillId="0" borderId="0" xfId="1" applyFont="1" applyAlignment="1" applyProtection="1">
      <alignment horizontal="center"/>
      <protection hidden="1"/>
    </xf>
    <xf numFmtId="0" fontId="21" fillId="0" borderId="2" xfId="1" applyFont="1" applyBorder="1" applyAlignment="1" applyProtection="1">
      <alignment horizontal="center"/>
      <protection hidden="1"/>
    </xf>
    <xf numFmtId="0" fontId="21" fillId="0" borderId="3" xfId="1" applyFont="1" applyBorder="1" applyAlignment="1" applyProtection="1">
      <alignment horizontal="center"/>
      <protection hidden="1"/>
    </xf>
    <xf numFmtId="0" fontId="1" fillId="0" borderId="7" xfId="0" applyFont="1" applyBorder="1" applyProtection="1">
      <protection hidden="1"/>
    </xf>
    <xf numFmtId="0" fontId="21" fillId="0" borderId="7" xfId="1" applyFont="1" applyBorder="1" applyAlignment="1" applyProtection="1">
      <alignment horizontal="center"/>
      <protection hidden="1"/>
    </xf>
    <xf numFmtId="0" fontId="21" fillId="0" borderId="8" xfId="1" applyFont="1" applyBorder="1" applyAlignment="1" applyProtection="1">
      <alignment horizontal="center"/>
      <protection hidden="1"/>
    </xf>
    <xf numFmtId="0" fontId="1" fillId="0" borderId="15" xfId="0" applyFont="1" applyBorder="1" applyProtection="1">
      <protection hidden="1"/>
    </xf>
    <xf numFmtId="0" fontId="1" fillId="0" borderId="34" xfId="1" applyBorder="1" applyProtection="1">
      <protection hidden="1"/>
    </xf>
    <xf numFmtId="0" fontId="1" fillId="0" borderId="35" xfId="1" applyBorder="1" applyProtection="1">
      <protection hidden="1"/>
    </xf>
    <xf numFmtId="0" fontId="25" fillId="0" borderId="14" xfId="0" applyFont="1" applyBorder="1" applyProtection="1">
      <protection hidden="1"/>
    </xf>
    <xf numFmtId="0" fontId="1" fillId="0" borderId="36" xfId="1" applyBorder="1" applyProtection="1">
      <protection hidden="1"/>
    </xf>
    <xf numFmtId="0" fontId="18" fillId="0" borderId="15" xfId="1" applyFont="1" applyBorder="1" applyProtection="1">
      <protection hidden="1"/>
    </xf>
    <xf numFmtId="0" fontId="1" fillId="0" borderId="37" xfId="1" applyBorder="1" applyProtection="1">
      <protection hidden="1"/>
    </xf>
    <xf numFmtId="0" fontId="1" fillId="0" borderId="38" xfId="1" applyBorder="1" applyProtection="1">
      <protection hidden="1"/>
    </xf>
    <xf numFmtId="0" fontId="9" fillId="0" borderId="18" xfId="1" applyFont="1" applyBorder="1" applyAlignment="1" applyProtection="1">
      <alignment horizontal="center"/>
      <protection hidden="1"/>
    </xf>
    <xf numFmtId="0" fontId="1" fillId="6" borderId="15" xfId="1" applyFill="1" applyBorder="1" applyAlignment="1" applyProtection="1">
      <alignment horizontal="center"/>
      <protection hidden="1"/>
    </xf>
    <xf numFmtId="2" fontId="9" fillId="0" borderId="12" xfId="1" applyNumberFormat="1" applyFont="1" applyBorder="1" applyAlignment="1" applyProtection="1">
      <alignment horizontal="center"/>
      <protection hidden="1"/>
    </xf>
    <xf numFmtId="0" fontId="6" fillId="4" borderId="0" xfId="1" applyFont="1" applyFill="1" applyProtection="1">
      <protection hidden="1"/>
    </xf>
    <xf numFmtId="0" fontId="1" fillId="0" borderId="10" xfId="1" applyBorder="1" applyAlignment="1" applyProtection="1">
      <alignment horizontal="center"/>
      <protection hidden="1"/>
    </xf>
    <xf numFmtId="0" fontId="1" fillId="0" borderId="11" xfId="1" applyBorder="1" applyAlignment="1" applyProtection="1">
      <alignment horizontal="center"/>
      <protection hidden="1"/>
    </xf>
    <xf numFmtId="0" fontId="1" fillId="0" borderId="0" xfId="1" applyAlignment="1" applyProtection="1">
      <alignment horizontal="center"/>
      <protection hidden="1"/>
    </xf>
    <xf numFmtId="49" fontId="9" fillId="0" borderId="0" xfId="1" applyNumberFormat="1" applyFont="1" applyAlignment="1" applyProtection="1">
      <alignment horizontal="center"/>
      <protection hidden="1"/>
    </xf>
    <xf numFmtId="49" fontId="9" fillId="0" borderId="7" xfId="1" applyNumberFormat="1" applyFont="1" applyBorder="1" applyAlignment="1" applyProtection="1">
      <alignment horizontal="center"/>
      <protection hidden="1"/>
    </xf>
    <xf numFmtId="49" fontId="9" fillId="0" borderId="8" xfId="1" applyNumberFormat="1" applyFont="1" applyBorder="1" applyAlignment="1" applyProtection="1">
      <alignment horizontal="center"/>
      <protection hidden="1"/>
    </xf>
    <xf numFmtId="0" fontId="1" fillId="0" borderId="6" xfId="1" applyBorder="1" applyAlignment="1" applyProtection="1">
      <alignment horizontal="center"/>
      <protection hidden="1"/>
    </xf>
    <xf numFmtId="0" fontId="1" fillId="0" borderId="7" xfId="1" applyBorder="1" applyAlignment="1" applyProtection="1">
      <alignment horizontal="center"/>
      <protection hidden="1"/>
    </xf>
    <xf numFmtId="0" fontId="1" fillId="0" borderId="8" xfId="1" applyBorder="1" applyAlignment="1" applyProtection="1">
      <alignment horizontal="center"/>
      <protection hidden="1"/>
    </xf>
    <xf numFmtId="49" fontId="9" fillId="0" borderId="12" xfId="1" applyNumberFormat="1" applyFont="1" applyBorder="1" applyAlignment="1" applyProtection="1">
      <alignment horizontal="center"/>
      <protection hidden="1"/>
    </xf>
    <xf numFmtId="0" fontId="1" fillId="0" borderId="12" xfId="1" applyBorder="1" applyAlignment="1" applyProtection="1">
      <alignment horizontal="center"/>
      <protection hidden="1"/>
    </xf>
    <xf numFmtId="0" fontId="1" fillId="0" borderId="15" xfId="1" applyBorder="1" applyAlignment="1" applyProtection="1">
      <alignment horizontal="center"/>
      <protection hidden="1"/>
    </xf>
    <xf numFmtId="0" fontId="1" fillId="0" borderId="7" xfId="1" applyBorder="1" applyProtection="1">
      <protection hidden="1"/>
    </xf>
    <xf numFmtId="0" fontId="1" fillId="0" borderId="8" xfId="1" applyBorder="1" applyProtection="1">
      <protection hidden="1"/>
    </xf>
    <xf numFmtId="0" fontId="1" fillId="0" borderId="0" xfId="1" applyProtection="1">
      <protection hidden="1"/>
    </xf>
    <xf numFmtId="0" fontId="1" fillId="0" borderId="5" xfId="1" applyBorder="1" applyProtection="1">
      <protection hidden="1"/>
    </xf>
    <xf numFmtId="0" fontId="6" fillId="4" borderId="0" xfId="1" applyFont="1" applyFill="1" applyAlignment="1" applyProtection="1">
      <alignment horizontal="center"/>
      <protection hidden="1"/>
    </xf>
    <xf numFmtId="0" fontId="11" fillId="0" borderId="4" xfId="1" applyFont="1" applyBorder="1" applyAlignment="1" applyProtection="1">
      <alignment horizontal="left"/>
      <protection hidden="1"/>
    </xf>
    <xf numFmtId="0" fontId="11" fillId="0" borderId="0" xfId="1" applyFont="1" applyAlignment="1" applyProtection="1">
      <alignment horizontal="left"/>
      <protection hidden="1"/>
    </xf>
    <xf numFmtId="0" fontId="6" fillId="4" borderId="0" xfId="1" applyFont="1" applyFill="1" applyAlignment="1" applyProtection="1">
      <alignment horizontal="left"/>
      <protection hidden="1"/>
    </xf>
    <xf numFmtId="0" fontId="1" fillId="4" borderId="0" xfId="1" applyFill="1" applyAlignment="1" applyProtection="1">
      <protection hidden="1"/>
    </xf>
    <xf numFmtId="0" fontId="6" fillId="4" borderId="0" xfId="1" applyFont="1" applyFill="1" applyAlignment="1" applyProtection="1">
      <alignment horizontal="center"/>
      <protection hidden="1"/>
    </xf>
    <xf numFmtId="0" fontId="6" fillId="4" borderId="0" xfId="1" applyFont="1" applyFill="1" applyAlignment="1" applyProtection="1">
      <alignment horizontal="left"/>
      <protection hidden="1"/>
    </xf>
    <xf numFmtId="49" fontId="6" fillId="4" borderId="0" xfId="1" applyNumberFormat="1" applyFont="1" applyFill="1" applyAlignment="1" applyProtection="1">
      <alignment horizontal="left"/>
      <protection hidden="1"/>
    </xf>
    <xf numFmtId="0" fontId="21" fillId="4" borderId="20" xfId="1" applyFont="1" applyFill="1" applyBorder="1" applyAlignment="1" applyProtection="1">
      <alignment horizontal="center" vertical="center"/>
      <protection hidden="1"/>
    </xf>
    <xf numFmtId="0" fontId="21" fillId="4" borderId="21" xfId="1" applyFont="1" applyFill="1" applyBorder="1" applyAlignment="1" applyProtection="1">
      <alignment horizontal="center" vertical="center"/>
      <protection hidden="1"/>
    </xf>
    <xf numFmtId="0" fontId="21" fillId="4" borderId="22" xfId="1" applyFont="1" applyFill="1" applyBorder="1" applyAlignment="1" applyProtection="1">
      <alignment horizontal="center" vertical="center"/>
      <protection hidden="1"/>
    </xf>
    <xf numFmtId="0" fontId="4" fillId="0" borderId="1" xfId="1" applyFont="1" applyBorder="1" applyAlignment="1" applyProtection="1">
      <alignment horizontal="center"/>
      <protection hidden="1"/>
    </xf>
    <xf numFmtId="0" fontId="4" fillId="0" borderId="2" xfId="1" applyFont="1" applyBorder="1" applyAlignment="1" applyProtection="1">
      <alignment horizontal="center"/>
      <protection hidden="1"/>
    </xf>
    <xf numFmtId="0" fontId="4" fillId="0" borderId="3" xfId="1" applyFont="1" applyBorder="1" applyAlignment="1" applyProtection="1">
      <alignment horizontal="center"/>
      <protection hidden="1"/>
    </xf>
    <xf numFmtId="2" fontId="1" fillId="0" borderId="1" xfId="1" quotePrefix="1" applyNumberFormat="1" applyBorder="1" applyAlignment="1" applyProtection="1">
      <alignment horizontal="left" vertical="center"/>
      <protection hidden="1"/>
    </xf>
    <xf numFmtId="2" fontId="1" fillId="0" borderId="2" xfId="1" quotePrefix="1" applyNumberFormat="1" applyBorder="1" applyAlignment="1" applyProtection="1">
      <alignment horizontal="left" vertical="center"/>
      <protection hidden="1"/>
    </xf>
    <xf numFmtId="2" fontId="1" fillId="0" borderId="23" xfId="1" quotePrefix="1" applyNumberFormat="1" applyBorder="1" applyAlignment="1" applyProtection="1">
      <alignment horizontal="left" vertical="center"/>
      <protection hidden="1"/>
    </xf>
    <xf numFmtId="2" fontId="1" fillId="0" borderId="24" xfId="1" quotePrefix="1" applyNumberFormat="1" applyBorder="1" applyAlignment="1" applyProtection="1">
      <alignment horizontal="left" vertical="center"/>
      <protection hidden="1"/>
    </xf>
    <xf numFmtId="2" fontId="1" fillId="0" borderId="6" xfId="1" quotePrefix="1" applyNumberFormat="1" applyBorder="1" applyAlignment="1" applyProtection="1">
      <alignment horizontal="left" vertical="center"/>
      <protection hidden="1"/>
    </xf>
    <xf numFmtId="2" fontId="1" fillId="0" borderId="7" xfId="1" quotePrefix="1" applyNumberFormat="1" applyBorder="1" applyAlignment="1" applyProtection="1">
      <alignment horizontal="left" vertical="center"/>
      <protection hidden="1"/>
    </xf>
    <xf numFmtId="0" fontId="21" fillId="4" borderId="6" xfId="1" applyFont="1" applyFill="1" applyBorder="1" applyAlignment="1" applyProtection="1">
      <alignment horizontal="right" vertical="center"/>
      <protection hidden="1"/>
    </xf>
    <xf numFmtId="0" fontId="21" fillId="4" borderId="7" xfId="1" applyFont="1" applyFill="1" applyBorder="1" applyAlignment="1" applyProtection="1">
      <alignment horizontal="right" vertical="center"/>
      <protection hidden="1"/>
    </xf>
    <xf numFmtId="0" fontId="1" fillId="0" borderId="14" xfId="1" applyBorder="1" applyAlignment="1" applyProtection="1">
      <alignment horizontal="left" vertical="center" wrapText="1"/>
      <protection hidden="1"/>
    </xf>
    <xf numFmtId="0" fontId="1" fillId="0" borderId="15" xfId="1" applyBorder="1" applyAlignment="1" applyProtection="1">
      <alignment horizontal="left" vertical="center" wrapText="1"/>
      <protection hidden="1"/>
    </xf>
    <xf numFmtId="2" fontId="1" fillId="0" borderId="14" xfId="1" quotePrefix="1" applyNumberFormat="1" applyBorder="1" applyAlignment="1" applyProtection="1">
      <alignment horizontal="left" vertical="center" wrapText="1"/>
      <protection hidden="1"/>
    </xf>
    <xf numFmtId="2" fontId="1" fillId="0" borderId="15" xfId="1" quotePrefix="1" applyNumberFormat="1" applyBorder="1" applyAlignment="1" applyProtection="1">
      <alignment horizontal="left" vertical="center" wrapText="1"/>
      <protection hidden="1"/>
    </xf>
    <xf numFmtId="49" fontId="1" fillId="0" borderId="15" xfId="1" applyNumberFormat="1" applyBorder="1" applyAlignment="1" applyProtection="1">
      <alignment horizontal="left" vertical="center" wrapText="1"/>
      <protection hidden="1"/>
    </xf>
    <xf numFmtId="0" fontId="21" fillId="0" borderId="2" xfId="1" applyFont="1" applyBorder="1" applyAlignment="1" applyProtection="1">
      <alignment horizontal="center" vertical="center"/>
      <protection hidden="1"/>
    </xf>
    <xf numFmtId="0" fontId="21" fillId="0" borderId="3" xfId="1" applyFont="1" applyBorder="1" applyAlignment="1" applyProtection="1">
      <alignment horizontal="center" vertical="center"/>
      <protection hidden="1"/>
    </xf>
    <xf numFmtId="2" fontId="1" fillId="0" borderId="14" xfId="1" quotePrefix="1" applyNumberFormat="1" applyBorder="1" applyAlignment="1" applyProtection="1">
      <alignment horizontal="left" vertical="center"/>
      <protection hidden="1"/>
    </xf>
    <xf numFmtId="2" fontId="1" fillId="0" borderId="15" xfId="1" quotePrefix="1" applyNumberFormat="1" applyBorder="1" applyAlignment="1" applyProtection="1">
      <alignment horizontal="left" vertical="center"/>
      <protection hidden="1"/>
    </xf>
    <xf numFmtId="0" fontId="4" fillId="0" borderId="6" xfId="1" applyFont="1" applyBorder="1" applyAlignment="1" applyProtection="1">
      <alignment horizontal="center"/>
      <protection hidden="1"/>
    </xf>
    <xf numFmtId="0" fontId="4" fillId="0" borderId="7" xfId="1" applyFont="1" applyBorder="1" applyAlignment="1" applyProtection="1">
      <alignment horizontal="center"/>
      <protection hidden="1"/>
    </xf>
    <xf numFmtId="0" fontId="4" fillId="0" borderId="14" xfId="1" applyFont="1" applyBorder="1" applyAlignment="1" applyProtection="1">
      <alignment horizontal="center"/>
      <protection hidden="1"/>
    </xf>
    <xf numFmtId="0" fontId="4" fillId="0" borderId="15" xfId="1" applyFont="1" applyBorder="1" applyAlignment="1" applyProtection="1">
      <alignment horizontal="center"/>
      <protection hidden="1"/>
    </xf>
    <xf numFmtId="0" fontId="21" fillId="0" borderId="1" xfId="1" applyFont="1" applyBorder="1" applyAlignment="1">
      <alignment horizontal="left" vertical="center"/>
    </xf>
    <xf numFmtId="0" fontId="21" fillId="0" borderId="2" xfId="1" applyFont="1" applyBorder="1" applyAlignment="1">
      <alignment horizontal="left" vertical="center"/>
    </xf>
    <xf numFmtId="0" fontId="21" fillId="0" borderId="3" xfId="1" applyFont="1" applyBorder="1" applyAlignment="1">
      <alignment horizontal="left" vertical="center"/>
    </xf>
    <xf numFmtId="0" fontId="21" fillId="0" borderId="1" xfId="1" applyFont="1" applyBorder="1" applyAlignment="1" applyProtection="1">
      <alignment horizontal="left" vertical="center"/>
      <protection hidden="1"/>
    </xf>
    <xf numFmtId="0" fontId="21" fillId="0" borderId="2" xfId="1" applyFont="1" applyBorder="1" applyAlignment="1" applyProtection="1">
      <alignment horizontal="left" vertical="center"/>
      <protection hidden="1"/>
    </xf>
    <xf numFmtId="0" fontId="21" fillId="0" borderId="3" xfId="1" applyFont="1" applyBorder="1" applyAlignment="1" applyProtection="1">
      <alignment horizontal="left" vertical="center"/>
      <protection hidden="1"/>
    </xf>
    <xf numFmtId="0" fontId="9" fillId="0" borderId="4" xfId="1" applyFont="1" applyBorder="1" applyAlignment="1" applyProtection="1">
      <alignment horizontal="left" vertical="center" wrapText="1"/>
      <protection hidden="1"/>
    </xf>
    <xf numFmtId="0" fontId="9" fillId="0" borderId="0" xfId="1" applyFont="1" applyAlignment="1" applyProtection="1">
      <alignment horizontal="left" vertical="center" wrapText="1"/>
      <protection hidden="1"/>
    </xf>
    <xf numFmtId="0" fontId="9" fillId="0" borderId="5" xfId="1" applyFont="1" applyBorder="1" applyAlignment="1" applyProtection="1">
      <alignment horizontal="left" vertical="center" wrapText="1"/>
      <protection hidden="1"/>
    </xf>
    <xf numFmtId="0" fontId="9" fillId="0" borderId="6" xfId="1" applyFont="1" applyBorder="1" applyAlignment="1" applyProtection="1">
      <alignment horizontal="left" vertical="center" wrapText="1"/>
      <protection hidden="1"/>
    </xf>
    <xf numFmtId="0" fontId="9" fillId="0" borderId="7" xfId="1" applyFont="1" applyBorder="1" applyAlignment="1" applyProtection="1">
      <alignment horizontal="left" vertical="center" wrapText="1"/>
      <protection hidden="1"/>
    </xf>
    <xf numFmtId="0" fontId="9" fillId="0" borderId="8" xfId="1" applyFont="1" applyBorder="1" applyAlignment="1" applyProtection="1">
      <alignment horizontal="left" vertical="center" wrapText="1"/>
      <protection hidden="1"/>
    </xf>
    <xf numFmtId="0" fontId="9" fillId="0" borderId="4" xfId="1" applyFont="1" applyBorder="1" applyAlignment="1" applyProtection="1">
      <alignment horizontal="center" vertical="center" wrapText="1"/>
      <protection hidden="1"/>
    </xf>
    <xf numFmtId="0" fontId="9" fillId="0" borderId="0" xfId="1" applyFont="1" applyAlignment="1" applyProtection="1">
      <alignment horizontal="center" vertical="center" wrapText="1"/>
      <protection hidden="1"/>
    </xf>
    <xf numFmtId="0" fontId="9" fillId="0" borderId="5" xfId="1" applyFont="1" applyBorder="1" applyAlignment="1" applyProtection="1">
      <alignment horizontal="center" vertical="center" wrapText="1"/>
      <protection hidden="1"/>
    </xf>
    <xf numFmtId="0" fontId="9" fillId="0" borderId="6" xfId="1" applyFont="1" applyBorder="1" applyAlignment="1" applyProtection="1">
      <alignment horizontal="center" vertical="center" wrapText="1"/>
      <protection hidden="1"/>
    </xf>
    <xf numFmtId="0" fontId="9" fillId="0" borderId="7" xfId="1" applyFont="1" applyBorder="1" applyAlignment="1" applyProtection="1">
      <alignment horizontal="center" vertical="center" wrapText="1"/>
      <protection hidden="1"/>
    </xf>
    <xf numFmtId="0" fontId="9" fillId="0" borderId="8" xfId="1" applyFont="1" applyBorder="1" applyAlignment="1" applyProtection="1">
      <alignment horizontal="center" vertical="center" wrapText="1"/>
      <protection hidden="1"/>
    </xf>
    <xf numFmtId="0" fontId="21" fillId="4" borderId="14" xfId="1" applyFont="1" applyFill="1" applyBorder="1" applyAlignment="1" applyProtection="1">
      <alignment horizontal="center" vertical="center"/>
      <protection hidden="1"/>
    </xf>
    <xf numFmtId="0" fontId="21" fillId="4" borderId="16" xfId="1" applyFont="1" applyFill="1" applyBorder="1" applyAlignment="1" applyProtection="1">
      <alignment horizontal="center" vertical="center"/>
      <protection hidden="1"/>
    </xf>
    <xf numFmtId="0" fontId="1" fillId="0" borderId="14" xfId="1" applyBorder="1" applyAlignment="1" applyProtection="1">
      <alignment horizontal="center"/>
      <protection hidden="1"/>
    </xf>
    <xf numFmtId="0" fontId="1" fillId="0" borderId="15" xfId="1" applyBorder="1" applyAlignment="1" applyProtection="1">
      <alignment horizontal="center"/>
      <protection hidden="1"/>
    </xf>
    <xf numFmtId="0" fontId="1" fillId="0" borderId="16" xfId="1" applyBorder="1" applyAlignment="1" applyProtection="1">
      <alignment horizontal="center"/>
      <protection hidden="1"/>
    </xf>
    <xf numFmtId="0" fontId="1" fillId="0" borderId="9" xfId="1" applyBorder="1" applyAlignment="1" applyProtection="1">
      <alignment horizontal="center"/>
      <protection hidden="1"/>
    </xf>
    <xf numFmtId="0" fontId="1" fillId="0" borderId="10" xfId="1" applyBorder="1" applyAlignment="1" applyProtection="1">
      <alignment horizontal="center"/>
      <protection hidden="1"/>
    </xf>
    <xf numFmtId="0" fontId="1" fillId="0" borderId="11" xfId="1" applyBorder="1" applyAlignment="1" applyProtection="1">
      <alignment horizontal="center"/>
      <protection hidden="1"/>
    </xf>
    <xf numFmtId="0" fontId="1" fillId="0" borderId="9" xfId="1" applyBorder="1" applyAlignment="1" applyProtection="1">
      <alignment horizontal="left"/>
      <protection hidden="1"/>
    </xf>
    <xf numFmtId="0" fontId="1" fillId="0" borderId="10" xfId="1" applyBorder="1" applyAlignment="1" applyProtection="1">
      <alignment horizontal="left"/>
      <protection hidden="1"/>
    </xf>
    <xf numFmtId="0" fontId="1" fillId="0" borderId="11" xfId="1" applyBorder="1" applyAlignment="1" applyProtection="1">
      <alignment horizontal="left"/>
      <protection hidden="1"/>
    </xf>
    <xf numFmtId="0" fontId="5" fillId="0" borderId="4" xfId="1" applyFont="1" applyBorder="1" applyAlignment="1" applyProtection="1">
      <alignment horizontal="center"/>
      <protection hidden="1"/>
    </xf>
    <xf numFmtId="0" fontId="1" fillId="0" borderId="0" xfId="1" applyAlignment="1" applyProtection="1">
      <alignment horizontal="center"/>
      <protection hidden="1"/>
    </xf>
    <xf numFmtId="0" fontId="1" fillId="0" borderId="5" xfId="1" applyBorder="1" applyAlignment="1" applyProtection="1">
      <alignment horizontal="center"/>
      <protection hidden="1"/>
    </xf>
    <xf numFmtId="0" fontId="1" fillId="0" borderId="4" xfId="1" applyBorder="1" applyAlignment="1" applyProtection="1">
      <alignment horizontal="center"/>
      <protection hidden="1"/>
    </xf>
    <xf numFmtId="0" fontId="10" fillId="0" borderId="13" xfId="1" applyFont="1" applyBorder="1" applyAlignment="1" applyProtection="1">
      <alignment horizontal="center"/>
      <protection hidden="1"/>
    </xf>
    <xf numFmtId="49" fontId="9" fillId="0" borderId="13" xfId="1" applyNumberFormat="1" applyFont="1" applyBorder="1" applyAlignment="1" applyProtection="1">
      <alignment horizontal="center"/>
      <protection hidden="1"/>
    </xf>
    <xf numFmtId="0" fontId="1" fillId="0" borderId="13" xfId="1" applyBorder="1" applyAlignment="1" applyProtection="1">
      <alignment horizontal="center"/>
      <protection hidden="1"/>
    </xf>
    <xf numFmtId="0" fontId="10" fillId="0" borderId="12" xfId="1" applyFont="1" applyBorder="1" applyAlignment="1" applyProtection="1">
      <alignment horizontal="center"/>
      <protection hidden="1"/>
    </xf>
    <xf numFmtId="49" fontId="9" fillId="0" borderId="12" xfId="1" applyNumberFormat="1" applyFont="1" applyBorder="1" applyAlignment="1" applyProtection="1">
      <alignment horizontal="center"/>
      <protection hidden="1"/>
    </xf>
    <xf numFmtId="0" fontId="1" fillId="0" borderId="12" xfId="1" applyBorder="1" applyAlignment="1" applyProtection="1">
      <alignment horizontal="center"/>
      <protection hidden="1"/>
    </xf>
    <xf numFmtId="0" fontId="10" fillId="0" borderId="6" xfId="1" applyFont="1" applyBorder="1" applyAlignment="1" applyProtection="1">
      <alignment horizontal="center"/>
      <protection hidden="1"/>
    </xf>
    <xf numFmtId="0" fontId="10" fillId="0" borderId="7" xfId="1" applyFont="1" applyBorder="1" applyAlignment="1" applyProtection="1">
      <alignment horizontal="center"/>
      <protection hidden="1"/>
    </xf>
    <xf numFmtId="0" fontId="10" fillId="0" borderId="8" xfId="1" applyFont="1" applyBorder="1" applyAlignment="1" applyProtection="1">
      <alignment horizontal="center"/>
      <protection hidden="1"/>
    </xf>
    <xf numFmtId="49" fontId="9" fillId="0" borderId="6" xfId="1" applyNumberFormat="1" applyFont="1" applyBorder="1" applyAlignment="1" applyProtection="1">
      <alignment horizontal="center"/>
      <protection hidden="1"/>
    </xf>
    <xf numFmtId="49" fontId="9" fillId="0" borderId="7" xfId="1" applyNumberFormat="1" applyFont="1" applyBorder="1" applyAlignment="1" applyProtection="1">
      <alignment horizontal="center"/>
      <protection hidden="1"/>
    </xf>
    <xf numFmtId="49" fontId="9" fillId="0" borderId="8" xfId="1" applyNumberFormat="1" applyFont="1" applyBorder="1" applyAlignment="1" applyProtection="1">
      <alignment horizontal="center"/>
      <protection hidden="1"/>
    </xf>
    <xf numFmtId="0" fontId="1" fillId="0" borderId="6" xfId="1" applyBorder="1" applyAlignment="1" applyProtection="1">
      <alignment horizontal="center"/>
      <protection hidden="1"/>
    </xf>
    <xf numFmtId="0" fontId="1" fillId="0" borderId="7" xfId="1" applyBorder="1" applyAlignment="1" applyProtection="1">
      <alignment horizontal="center"/>
      <protection hidden="1"/>
    </xf>
    <xf numFmtId="0" fontId="1" fillId="0" borderId="8" xfId="1" applyBorder="1" applyAlignment="1" applyProtection="1">
      <alignment horizontal="center"/>
      <protection hidden="1"/>
    </xf>
    <xf numFmtId="0" fontId="10" fillId="0" borderId="4" xfId="1" applyFont="1" applyBorder="1" applyAlignment="1" applyProtection="1">
      <alignment horizontal="center"/>
      <protection hidden="1"/>
    </xf>
    <xf numFmtId="0" fontId="10" fillId="0" borderId="0" xfId="1" applyFont="1" applyAlignment="1" applyProtection="1">
      <alignment horizontal="center"/>
      <protection hidden="1"/>
    </xf>
    <xf numFmtId="0" fontId="10" fillId="0" borderId="5" xfId="1" applyFont="1" applyBorder="1" applyAlignment="1" applyProtection="1">
      <alignment horizontal="center"/>
      <protection hidden="1"/>
    </xf>
    <xf numFmtId="49" fontId="9" fillId="0" borderId="4" xfId="1" applyNumberFormat="1" applyFont="1" applyBorder="1" applyAlignment="1" applyProtection="1">
      <alignment horizontal="center"/>
      <protection hidden="1"/>
    </xf>
    <xf numFmtId="49" fontId="9" fillId="0" borderId="0" xfId="1" applyNumberFormat="1" applyFont="1" applyAlignment="1" applyProtection="1">
      <alignment horizontal="center"/>
      <protection hidden="1"/>
    </xf>
    <xf numFmtId="49" fontId="9" fillId="0" borderId="5" xfId="1" applyNumberFormat="1" applyFont="1" applyBorder="1" applyAlignment="1" applyProtection="1">
      <alignment horizontal="center"/>
      <protection hidden="1"/>
    </xf>
    <xf numFmtId="0" fontId="11" fillId="0" borderId="4" xfId="1" applyFont="1" applyBorder="1" applyAlignment="1" applyProtection="1">
      <alignment horizontal="left"/>
      <protection hidden="1"/>
    </xf>
    <xf numFmtId="0" fontId="11" fillId="0" borderId="0" xfId="1" applyFont="1" applyAlignment="1" applyProtection="1">
      <alignment horizontal="left"/>
      <protection hidden="1"/>
    </xf>
    <xf numFmtId="0" fontId="11" fillId="0" borderId="5" xfId="1" applyFont="1" applyBorder="1" applyAlignment="1" applyProtection="1">
      <alignment horizontal="left"/>
      <protection hidden="1"/>
    </xf>
    <xf numFmtId="2" fontId="6" fillId="4" borderId="0" xfId="1" applyNumberFormat="1" applyFont="1" applyFill="1" applyAlignment="1" applyProtection="1">
      <alignment horizontal="left"/>
      <protection hidden="1"/>
    </xf>
    <xf numFmtId="49" fontId="1" fillId="0" borderId="9" xfId="1" applyNumberFormat="1" applyBorder="1" applyAlignment="1" applyProtection="1">
      <alignment horizontal="left"/>
      <protection hidden="1"/>
    </xf>
    <xf numFmtId="49" fontId="1" fillId="0" borderId="10" xfId="1" applyNumberFormat="1" applyBorder="1" applyAlignment="1" applyProtection="1">
      <alignment horizontal="left"/>
      <protection hidden="1"/>
    </xf>
    <xf numFmtId="49" fontId="1" fillId="0" borderId="11" xfId="1" applyNumberFormat="1" applyBorder="1" applyAlignment="1" applyProtection="1">
      <alignment horizontal="left"/>
      <protection hidden="1"/>
    </xf>
    <xf numFmtId="0" fontId="10" fillId="0" borderId="14" xfId="1" applyFont="1" applyBorder="1" applyAlignment="1" applyProtection="1">
      <alignment horizontal="center"/>
      <protection hidden="1"/>
    </xf>
    <xf numFmtId="0" fontId="10" fillId="0" borderId="15" xfId="1" applyFont="1" applyBorder="1" applyAlignment="1" applyProtection="1">
      <alignment horizontal="center"/>
      <protection hidden="1"/>
    </xf>
    <xf numFmtId="0" fontId="10" fillId="0" borderId="16" xfId="1" applyFont="1" applyBorder="1" applyAlignment="1" applyProtection="1">
      <alignment horizontal="center"/>
      <protection hidden="1"/>
    </xf>
    <xf numFmtId="0" fontId="3" fillId="4" borderId="0" xfId="1" applyFont="1" applyFill="1" applyAlignment="1" applyProtection="1">
      <alignment horizontal="left"/>
      <protection hidden="1"/>
    </xf>
  </cellXfs>
  <cellStyles count="2">
    <cellStyle name="Normál" xfId="0" builtinId="0"/>
    <cellStyle name="Normal 3" xfId="1" xr:uid="{B74501F1-0897-45BD-AC5F-B0BF30F85E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0" name="Text Box 2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123634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1" name="Text Box 45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190157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2" name="Text Box 46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509647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3" name="Text Box 47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293789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4" name="Text Box 26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23634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5" name="Text Box 4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>
          <a:spLocks noChangeArrowheads="1"/>
        </xdr:cNvSpPr>
      </xdr:nvSpPr>
      <xdr:spPr bwMode="auto">
        <a:xfrm>
          <a:off x="190157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6" name="Text Box 4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>
          <a:spLocks noChangeArrowheads="1"/>
        </xdr:cNvSpPr>
      </xdr:nvSpPr>
      <xdr:spPr bwMode="auto">
        <a:xfrm>
          <a:off x="2509647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7" name="Text Box 4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293789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8" name="Text Box 2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>
          <a:spLocks noChangeArrowheads="1"/>
        </xdr:cNvSpPr>
      </xdr:nvSpPr>
      <xdr:spPr bwMode="auto">
        <a:xfrm>
          <a:off x="123634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19" name="Text Box 45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>
          <a:spLocks noChangeArrowheads="1"/>
        </xdr:cNvSpPr>
      </xdr:nvSpPr>
      <xdr:spPr bwMode="auto">
        <a:xfrm>
          <a:off x="190157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0" name="Text Box 46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>
          <a:spLocks noChangeArrowheads="1"/>
        </xdr:cNvSpPr>
      </xdr:nvSpPr>
      <xdr:spPr bwMode="auto">
        <a:xfrm>
          <a:off x="2509647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1" name="Text Box 47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>
          <a:spLocks noChangeArrowheads="1"/>
        </xdr:cNvSpPr>
      </xdr:nvSpPr>
      <xdr:spPr bwMode="auto">
        <a:xfrm>
          <a:off x="293789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>
          <a:spLocks noChangeArrowheads="1"/>
        </xdr:cNvSpPr>
      </xdr:nvSpPr>
      <xdr:spPr bwMode="auto">
        <a:xfrm>
          <a:off x="340042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3" name="Text Box 2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123634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4" name="Text Box 45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>
          <a:spLocks noChangeArrowheads="1"/>
        </xdr:cNvSpPr>
      </xdr:nvSpPr>
      <xdr:spPr bwMode="auto">
        <a:xfrm>
          <a:off x="190157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5" name="Text Box 46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>
          <a:spLocks noChangeArrowheads="1"/>
        </xdr:cNvSpPr>
      </xdr:nvSpPr>
      <xdr:spPr bwMode="auto">
        <a:xfrm>
          <a:off x="2509647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6" name="Text Box 47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>
          <a:spLocks noChangeArrowheads="1"/>
        </xdr:cNvSpPr>
      </xdr:nvSpPr>
      <xdr:spPr bwMode="auto">
        <a:xfrm>
          <a:off x="2937891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27" name="Text Box 47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>
          <a:spLocks noChangeArrowheads="1"/>
        </xdr:cNvSpPr>
      </xdr:nvSpPr>
      <xdr:spPr bwMode="auto">
        <a:xfrm>
          <a:off x="34004250" y="391668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4</xdr:col>
      <xdr:colOff>115957</xdr:colOff>
      <xdr:row>133</xdr:row>
      <xdr:rowOff>57978</xdr:rowOff>
    </xdr:from>
    <xdr:ext cx="384109" cy="323023"/>
    <xdr:pic>
      <xdr:nvPicPr>
        <xdr:cNvPr id="28" name="Picture 38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097" y="24045738"/>
          <a:ext cx="384109" cy="3230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57979</xdr:colOff>
      <xdr:row>137</xdr:row>
      <xdr:rowOff>33128</xdr:rowOff>
    </xdr:from>
    <xdr:ext cx="5750070" cy="2671972"/>
    <xdr:pic>
      <xdr:nvPicPr>
        <xdr:cNvPr id="29" name="Picture 40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79" y="24813368"/>
          <a:ext cx="5750070" cy="2671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354490</xdr:colOff>
      <xdr:row>141</xdr:row>
      <xdr:rowOff>6623</xdr:rowOff>
    </xdr:from>
    <xdr:ext cx="979010" cy="2980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41">
              <a:extLst>
                <a:ext uri="{FF2B5EF4-FFF2-40B4-BE49-F238E27FC236}">
                  <a16:creationId xmlns:a16="http://schemas.microsoft.com/office/drawing/2014/main" id="{00000000-0008-0000-0000-00001E000000}"/>
                </a:ext>
              </a:extLst>
            </xdr:cNvPr>
            <xdr:cNvSpPr txBox="1"/>
          </xdr:nvSpPr>
          <xdr:spPr>
            <a:xfrm>
              <a:off x="6336190" y="28078703"/>
              <a:ext cx="979010" cy="2980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d>
                        <m:dPr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sSup>
                            <m:sSupPr>
                              <m:ctrlPr>
                                <a:rPr lang="fr-CH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𝐷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  <m:r>
                            <a:rPr lang="fr-CH" sz="1100" b="0" i="1">
                              <a:latin typeface="Cambria Math"/>
                            </a:rPr>
                            <m:t>+</m:t>
                          </m:r>
                          <m:sSup>
                            <m:sSup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𝐵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</m:e>
                      </m:d>
                    </m:e>
                  </m:rad>
                </m:oMath>
              </a14:m>
              <a:r>
                <a:rPr lang="fr-CH" sz="1100"/>
                <a:t>=</a:t>
              </a:r>
            </a:p>
          </xdr:txBody>
        </xdr:sp>
      </mc:Choice>
      <mc:Fallback xmlns="">
        <xdr:sp macro="" textlink="">
          <xdr:nvSpPr>
            <xdr:cNvPr id="30" name="TextBox 41">
              <a:extLst>
                <a:ext uri="{FF2B5EF4-FFF2-40B4-BE49-F238E27FC236}">
                  <a16:creationId xmlns:a16="http://schemas.microsoft.com/office/drawing/2014/main" id="{F71AA6F2-2130-4CD1-B846-3FED516FA9F6}"/>
                </a:ext>
              </a:extLst>
            </xdr:cNvPr>
            <xdr:cNvSpPr txBox="1"/>
          </xdr:nvSpPr>
          <xdr:spPr>
            <a:xfrm>
              <a:off x="6336190" y="28078703"/>
              <a:ext cx="979010" cy="2980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fr-CH" sz="1100" i="0">
                  <a:latin typeface="Cambria Math" panose="02040503050406030204" pitchFamily="18" charset="0"/>
                </a:rPr>
                <a:t>√((</a:t>
              </a:r>
              <a:r>
                <a:rPr lang="fr-CH" sz="1100" b="0" i="0">
                  <a:latin typeface="Cambria Math"/>
                </a:rPr>
                <a:t>𝐷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2+𝐵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</a:t>
              </a:r>
              <a:r>
                <a:rPr lang="fr-CH" sz="1100" b="0" i="0">
                  <a:latin typeface="Cambria Math" panose="02040503050406030204" pitchFamily="18" charset="0"/>
                </a:rPr>
                <a:t> ) )</a:t>
              </a:r>
              <a:r>
                <a:rPr lang="fr-CH" sz="1100"/>
                <a:t>=</a:t>
              </a:r>
            </a:p>
          </xdr:txBody>
        </xdr:sp>
      </mc:Fallback>
    </mc:AlternateContent>
    <xdr:clientData/>
  </xdr:oneCellAnchor>
  <xdr:oneCellAnchor>
    <xdr:from>
      <xdr:col>17</xdr:col>
      <xdr:colOff>371052</xdr:colOff>
      <xdr:row>147</xdr:row>
      <xdr:rowOff>6622</xdr:rowOff>
    </xdr:from>
    <xdr:ext cx="995575" cy="3005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42">
              <a:extLst>
                <a:ext uri="{FF2B5EF4-FFF2-40B4-BE49-F238E27FC236}">
                  <a16:creationId xmlns:a16="http://schemas.microsoft.com/office/drawing/2014/main" id="{00000000-0008-0000-0000-00001F000000}"/>
                </a:ext>
              </a:extLst>
            </xdr:cNvPr>
            <xdr:cNvSpPr txBox="1"/>
          </xdr:nvSpPr>
          <xdr:spPr>
            <a:xfrm>
              <a:off x="6352752" y="29076922"/>
              <a:ext cx="995575" cy="3005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d>
                        <m:dPr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sSup>
                            <m:sSupPr>
                              <m:ctrlPr>
                                <a:rPr lang="fr-CH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𝐸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  <m:r>
                            <a:rPr lang="fr-CH" sz="1100" b="0" i="1">
                              <a:latin typeface="Cambria Math"/>
                            </a:rPr>
                            <m:t>+</m:t>
                          </m:r>
                          <m:sSup>
                            <m:sSup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𝐴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</m:e>
                      </m:d>
                    </m:e>
                  </m:rad>
                </m:oMath>
              </a14:m>
              <a:r>
                <a:rPr lang="fr-CH" sz="1100"/>
                <a:t>=</a:t>
              </a:r>
            </a:p>
          </xdr:txBody>
        </xdr:sp>
      </mc:Choice>
      <mc:Fallback xmlns="">
        <xdr:sp macro="" textlink="">
          <xdr:nvSpPr>
            <xdr:cNvPr id="31" name="TextBox 42">
              <a:extLst>
                <a:ext uri="{FF2B5EF4-FFF2-40B4-BE49-F238E27FC236}">
                  <a16:creationId xmlns:a16="http://schemas.microsoft.com/office/drawing/2014/main" id="{1471507A-DA03-42DB-9DDA-E4CA2FC8BFA2}"/>
                </a:ext>
              </a:extLst>
            </xdr:cNvPr>
            <xdr:cNvSpPr txBox="1"/>
          </xdr:nvSpPr>
          <xdr:spPr>
            <a:xfrm>
              <a:off x="6352752" y="29076922"/>
              <a:ext cx="995575" cy="3005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fr-CH" sz="1100" i="0">
                  <a:latin typeface="Cambria Math" panose="02040503050406030204" pitchFamily="18" charset="0"/>
                </a:rPr>
                <a:t>√((</a:t>
              </a:r>
              <a:r>
                <a:rPr lang="fr-CH" sz="1100" b="0" i="0">
                  <a:latin typeface="Cambria Math"/>
                </a:rPr>
                <a:t>𝐸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2+𝐴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</a:t>
              </a:r>
              <a:r>
                <a:rPr lang="fr-CH" sz="1100" b="0" i="0">
                  <a:latin typeface="Cambria Math" panose="02040503050406030204" pitchFamily="18" charset="0"/>
                </a:rPr>
                <a:t> ) )</a:t>
              </a:r>
              <a:r>
                <a:rPr lang="fr-CH" sz="1100"/>
                <a:t>=</a:t>
              </a:r>
            </a:p>
          </xdr:txBody>
        </xdr:sp>
      </mc:Fallback>
    </mc:AlternateContent>
    <xdr:clientData/>
  </xdr:oneCellAnchor>
  <xdr:oneCellAnchor>
    <xdr:from>
      <xdr:col>21</xdr:col>
      <xdr:colOff>0</xdr:colOff>
      <xdr:row>170</xdr:row>
      <xdr:rowOff>95250</xdr:rowOff>
    </xdr:from>
    <xdr:ext cx="76200" cy="200025"/>
    <xdr:sp macro="" textlink="">
      <xdr:nvSpPr>
        <xdr:cNvPr id="32" name="Text Box 26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>
          <a:spLocks noChangeArrowheads="1"/>
        </xdr:cNvSpPr>
      </xdr:nvSpPr>
      <xdr:spPr bwMode="auto">
        <a:xfrm>
          <a:off x="12363450" y="3629787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170</xdr:row>
      <xdr:rowOff>95250</xdr:rowOff>
    </xdr:from>
    <xdr:ext cx="76200" cy="200025"/>
    <xdr:sp macro="" textlink="">
      <xdr:nvSpPr>
        <xdr:cNvPr id="33" name="Text Box 45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>
          <a:spLocks noChangeArrowheads="1"/>
        </xdr:cNvSpPr>
      </xdr:nvSpPr>
      <xdr:spPr bwMode="auto">
        <a:xfrm>
          <a:off x="19015710" y="3629787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170</xdr:row>
      <xdr:rowOff>95250</xdr:rowOff>
    </xdr:from>
    <xdr:ext cx="76200" cy="200025"/>
    <xdr:sp macro="" textlink="">
      <xdr:nvSpPr>
        <xdr:cNvPr id="34" name="Text Box 46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25096470" y="3629787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170</xdr:row>
      <xdr:rowOff>95250</xdr:rowOff>
    </xdr:from>
    <xdr:ext cx="76200" cy="200025"/>
    <xdr:sp macro="" textlink="">
      <xdr:nvSpPr>
        <xdr:cNvPr id="35" name="Text Box 47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>
          <a:spLocks noChangeArrowheads="1"/>
        </xdr:cNvSpPr>
      </xdr:nvSpPr>
      <xdr:spPr bwMode="auto">
        <a:xfrm>
          <a:off x="29378910" y="3629787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170</xdr:row>
      <xdr:rowOff>95250</xdr:rowOff>
    </xdr:from>
    <xdr:ext cx="76200" cy="200025"/>
    <xdr:sp macro="" textlink="">
      <xdr:nvSpPr>
        <xdr:cNvPr id="36" name="Text Box 47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>
          <a:spLocks noChangeArrowheads="1"/>
        </xdr:cNvSpPr>
      </xdr:nvSpPr>
      <xdr:spPr bwMode="auto">
        <a:xfrm>
          <a:off x="34004250" y="3629787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37" name="Text Box 2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38" name="Text Box 45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39" name="Text Box 46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0" name="Text Box 47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1" name="Text Box 26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2" name="Text Box 4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3" name="Text Box 46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4" name="Text Box 47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5" name="Text Box 26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6" name="Text Box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7" name="Text 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8" name="Text Box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49" name="Text Box 47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>
          <a:spLocks noChangeArrowheads="1"/>
        </xdr:cNvSpPr>
      </xdr:nvSpPr>
      <xdr:spPr bwMode="auto">
        <a:xfrm>
          <a:off x="293789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0" name="Text Box 26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1" name="Text Box 45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2" name="Text Box 46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3" name="Text Box 47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4" name="Text Box 47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>
          <a:spLocks noChangeArrowheads="1"/>
        </xdr:cNvSpPr>
      </xdr:nvSpPr>
      <xdr:spPr bwMode="auto">
        <a:xfrm>
          <a:off x="293789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5" name="Text Box 26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6" name="Text Box 4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7" name="Text Box 4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8" name="Text Box 4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59" name="Text Box 26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>
          <a:spLocks noChangeArrowheads="1"/>
        </xdr:cNvSpPr>
      </xdr:nvSpPr>
      <xdr:spPr bwMode="auto">
        <a:xfrm>
          <a:off x="1170813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0" name="Text Box 45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>
          <a:spLocks noChangeArrowheads="1"/>
        </xdr:cNvSpPr>
      </xdr:nvSpPr>
      <xdr:spPr bwMode="auto">
        <a:xfrm>
          <a:off x="1236345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1" name="Text Box 46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>
          <a:spLocks noChangeArrowheads="1"/>
        </xdr:cNvSpPr>
      </xdr:nvSpPr>
      <xdr:spPr bwMode="auto">
        <a:xfrm>
          <a:off x="190157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2" name="Text Box 47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>
          <a:spLocks noChangeArrowheads="1"/>
        </xdr:cNvSpPr>
      </xdr:nvSpPr>
      <xdr:spPr bwMode="auto">
        <a:xfrm>
          <a:off x="2509647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3" name="Text Box 47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 txBox="1">
          <a:spLocks noChangeArrowheads="1"/>
        </xdr:cNvSpPr>
      </xdr:nvSpPr>
      <xdr:spPr bwMode="auto">
        <a:xfrm>
          <a:off x="29378910" y="629335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57979</xdr:colOff>
      <xdr:row>137</xdr:row>
      <xdr:rowOff>33127</xdr:rowOff>
    </xdr:from>
    <xdr:ext cx="7144653" cy="2769705"/>
    <xdr:pic>
      <xdr:nvPicPr>
        <xdr:cNvPr id="64" name="Picture 4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79" y="24813367"/>
          <a:ext cx="7144653" cy="27697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354490</xdr:colOff>
      <xdr:row>141</xdr:row>
      <xdr:rowOff>6623</xdr:rowOff>
    </xdr:from>
    <xdr:ext cx="979010" cy="2980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5">
              <a:extLst>
                <a:ext uri="{FF2B5EF4-FFF2-40B4-BE49-F238E27FC236}">
                  <a16:creationId xmlns:a16="http://schemas.microsoft.com/office/drawing/2014/main" id="{00000000-0008-0000-0000-000041000000}"/>
                </a:ext>
              </a:extLst>
            </xdr:cNvPr>
            <xdr:cNvSpPr txBox="1"/>
          </xdr:nvSpPr>
          <xdr:spPr>
            <a:xfrm>
              <a:off x="6336190" y="28078703"/>
              <a:ext cx="979010" cy="2980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d>
                        <m:dPr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sSup>
                            <m:sSupPr>
                              <m:ctrlPr>
                                <a:rPr lang="fr-CH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𝐷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  <m:r>
                            <a:rPr lang="fr-CH" sz="1100" b="0" i="1">
                              <a:latin typeface="Cambria Math"/>
                            </a:rPr>
                            <m:t>+</m:t>
                          </m:r>
                          <m:sSup>
                            <m:sSup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𝐵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</m:e>
                      </m:d>
                    </m:e>
                  </m:rad>
                </m:oMath>
              </a14:m>
              <a:r>
                <a:rPr lang="fr-CH" sz="1100"/>
                <a:t>=</a:t>
              </a:r>
            </a:p>
          </xdr:txBody>
        </xdr:sp>
      </mc:Choice>
      <mc:Fallback xmlns="">
        <xdr:sp macro="" textlink="">
          <xdr:nvSpPr>
            <xdr:cNvPr id="65" name="TextBox 5">
              <a:extLst>
                <a:ext uri="{FF2B5EF4-FFF2-40B4-BE49-F238E27FC236}">
                  <a16:creationId xmlns:a16="http://schemas.microsoft.com/office/drawing/2014/main" id="{1C73A95E-BC40-4769-A52A-B68D219D8B22}"/>
                </a:ext>
              </a:extLst>
            </xdr:cNvPr>
            <xdr:cNvSpPr txBox="1"/>
          </xdr:nvSpPr>
          <xdr:spPr>
            <a:xfrm>
              <a:off x="6336190" y="28078703"/>
              <a:ext cx="979010" cy="2980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fr-CH" sz="1100" i="0">
                  <a:latin typeface="Cambria Math" panose="02040503050406030204" pitchFamily="18" charset="0"/>
                </a:rPr>
                <a:t>√((</a:t>
              </a:r>
              <a:r>
                <a:rPr lang="fr-CH" sz="1100" b="0" i="0">
                  <a:latin typeface="Cambria Math"/>
                </a:rPr>
                <a:t>𝐷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2+𝐵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</a:t>
              </a:r>
              <a:r>
                <a:rPr lang="fr-CH" sz="1100" b="0" i="0">
                  <a:latin typeface="Cambria Math" panose="02040503050406030204" pitchFamily="18" charset="0"/>
                </a:rPr>
                <a:t> ) )</a:t>
              </a:r>
              <a:r>
                <a:rPr lang="fr-CH" sz="1100"/>
                <a:t>=</a:t>
              </a:r>
            </a:p>
          </xdr:txBody>
        </xdr:sp>
      </mc:Fallback>
    </mc:AlternateContent>
    <xdr:clientData/>
  </xdr:oneCellAnchor>
  <xdr:oneCellAnchor>
    <xdr:from>
      <xdr:col>17</xdr:col>
      <xdr:colOff>371052</xdr:colOff>
      <xdr:row>147</xdr:row>
      <xdr:rowOff>6622</xdr:rowOff>
    </xdr:from>
    <xdr:ext cx="995575" cy="3005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">
              <a:extLst>
                <a:ext uri="{FF2B5EF4-FFF2-40B4-BE49-F238E27FC236}">
                  <a16:creationId xmlns:a16="http://schemas.microsoft.com/office/drawing/2014/main" id="{00000000-0008-0000-0000-000042000000}"/>
                </a:ext>
              </a:extLst>
            </xdr:cNvPr>
            <xdr:cNvSpPr txBox="1"/>
          </xdr:nvSpPr>
          <xdr:spPr>
            <a:xfrm>
              <a:off x="6352752" y="29076922"/>
              <a:ext cx="995575" cy="3005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fr-CH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d>
                        <m:dPr>
                          <m:ctrlPr>
                            <a:rPr lang="fr-CH" sz="110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sSup>
                            <m:sSupPr>
                              <m:ctrlPr>
                                <a:rPr lang="fr-CH" sz="110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𝐸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  <m:r>
                            <a:rPr lang="fr-CH" sz="1100" b="0" i="1">
                              <a:latin typeface="Cambria Math"/>
                            </a:rPr>
                            <m:t>+</m:t>
                          </m:r>
                          <m:sSup>
                            <m:sSupPr>
                              <m:ctrlPr>
                                <a:rPr lang="fr-CH" sz="1100" b="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fr-CH" sz="1100" b="0" i="1">
                                  <a:latin typeface="Cambria Math"/>
                                </a:rPr>
                                <m:t>𝐴</m:t>
                              </m:r>
                            </m:e>
                            <m:sup>
                              <m:r>
                                <a:rPr lang="fr-CH" sz="1100" b="0" i="1">
                                  <a:latin typeface="Cambria Math"/>
                                </a:rPr>
                                <m:t>2</m:t>
                              </m:r>
                            </m:sup>
                          </m:sSup>
                        </m:e>
                      </m:d>
                    </m:e>
                  </m:rad>
                </m:oMath>
              </a14:m>
              <a:r>
                <a:rPr lang="fr-CH" sz="1100"/>
                <a:t>=</a:t>
              </a:r>
            </a:p>
          </xdr:txBody>
        </xdr:sp>
      </mc:Choice>
      <mc:Fallback xmlns="">
        <xdr:sp macro="" textlink="">
          <xdr:nvSpPr>
            <xdr:cNvPr id="66" name="TextBox 6">
              <a:extLst>
                <a:ext uri="{FF2B5EF4-FFF2-40B4-BE49-F238E27FC236}">
                  <a16:creationId xmlns:a16="http://schemas.microsoft.com/office/drawing/2014/main" id="{AAF960A2-E865-48DB-9741-893084AB5790}"/>
                </a:ext>
              </a:extLst>
            </xdr:cNvPr>
            <xdr:cNvSpPr txBox="1"/>
          </xdr:nvSpPr>
          <xdr:spPr>
            <a:xfrm>
              <a:off x="6352752" y="29076922"/>
              <a:ext cx="995575" cy="3005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fr-CH" sz="1100" i="0">
                  <a:latin typeface="Cambria Math" panose="02040503050406030204" pitchFamily="18" charset="0"/>
                </a:rPr>
                <a:t>√((</a:t>
              </a:r>
              <a:r>
                <a:rPr lang="fr-CH" sz="1100" b="0" i="0">
                  <a:latin typeface="Cambria Math"/>
                </a:rPr>
                <a:t>𝐸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2+𝐴</a:t>
              </a:r>
              <a:r>
                <a:rPr lang="fr-CH" sz="1100" b="0" i="0">
                  <a:latin typeface="Cambria Math" panose="02040503050406030204" pitchFamily="18" charset="0"/>
                </a:rPr>
                <a:t>^</a:t>
              </a:r>
              <a:r>
                <a:rPr lang="fr-CH" sz="1100" b="0" i="0">
                  <a:latin typeface="Cambria Math"/>
                </a:rPr>
                <a:t>2</a:t>
              </a:r>
              <a:r>
                <a:rPr lang="fr-CH" sz="1100" b="0" i="0">
                  <a:latin typeface="Cambria Math" panose="02040503050406030204" pitchFamily="18" charset="0"/>
                </a:rPr>
                <a:t> ) )</a:t>
              </a:r>
              <a:r>
                <a:rPr lang="fr-CH" sz="1100"/>
                <a:t>=</a:t>
              </a:r>
            </a:p>
          </xdr:txBody>
        </xdr:sp>
      </mc:Fallback>
    </mc:AlternateContent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7" name="Text Box 2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 txBox="1">
          <a:spLocks noChangeArrowheads="1"/>
        </xdr:cNvSpPr>
      </xdr:nvSpPr>
      <xdr:spPr bwMode="auto">
        <a:xfrm>
          <a:off x="1236345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8" name="Text Box 45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 txBox="1">
          <a:spLocks noChangeArrowheads="1"/>
        </xdr:cNvSpPr>
      </xdr:nvSpPr>
      <xdr:spPr bwMode="auto">
        <a:xfrm>
          <a:off x="1901571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69" name="Text Box 46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 txBox="1">
          <a:spLocks noChangeArrowheads="1"/>
        </xdr:cNvSpPr>
      </xdr:nvSpPr>
      <xdr:spPr bwMode="auto">
        <a:xfrm>
          <a:off x="2509647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0" name="Text Box 47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 txBox="1">
          <a:spLocks noChangeArrowheads="1"/>
        </xdr:cNvSpPr>
      </xdr:nvSpPr>
      <xdr:spPr bwMode="auto">
        <a:xfrm>
          <a:off x="2937891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1" name="Text Box 26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 txBox="1">
          <a:spLocks noChangeArrowheads="1"/>
        </xdr:cNvSpPr>
      </xdr:nvSpPr>
      <xdr:spPr bwMode="auto">
        <a:xfrm>
          <a:off x="1236345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2" name="Text Box 45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 txBox="1">
          <a:spLocks noChangeArrowheads="1"/>
        </xdr:cNvSpPr>
      </xdr:nvSpPr>
      <xdr:spPr bwMode="auto">
        <a:xfrm>
          <a:off x="1901571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3" name="Text Box 46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 txBox="1">
          <a:spLocks noChangeArrowheads="1"/>
        </xdr:cNvSpPr>
      </xdr:nvSpPr>
      <xdr:spPr bwMode="auto">
        <a:xfrm>
          <a:off x="2509647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4" name="Text Box 47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 txBox="1">
          <a:spLocks noChangeArrowheads="1"/>
        </xdr:cNvSpPr>
      </xdr:nvSpPr>
      <xdr:spPr bwMode="auto">
        <a:xfrm>
          <a:off x="2937891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5" name="Text Box 47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 txBox="1">
          <a:spLocks noChangeArrowheads="1"/>
        </xdr:cNvSpPr>
      </xdr:nvSpPr>
      <xdr:spPr bwMode="auto">
        <a:xfrm>
          <a:off x="34004250" y="5058918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6" name="Text Box 26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 txBox="1">
          <a:spLocks noChangeArrowheads="1"/>
        </xdr:cNvSpPr>
      </xdr:nvSpPr>
      <xdr:spPr bwMode="auto">
        <a:xfrm>
          <a:off x="1236345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7" name="Text Box 45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 txBox="1">
          <a:spLocks noChangeArrowheads="1"/>
        </xdr:cNvSpPr>
      </xdr:nvSpPr>
      <xdr:spPr bwMode="auto">
        <a:xfrm>
          <a:off x="1901571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8" name="Text Box 46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 txBox="1">
          <a:spLocks noChangeArrowheads="1"/>
        </xdr:cNvSpPr>
      </xdr:nvSpPr>
      <xdr:spPr bwMode="auto">
        <a:xfrm>
          <a:off x="2509647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79" name="Text Box 47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 txBox="1">
          <a:spLocks noChangeArrowheads="1"/>
        </xdr:cNvSpPr>
      </xdr:nvSpPr>
      <xdr:spPr bwMode="auto">
        <a:xfrm>
          <a:off x="2937891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81" name="Text Box 26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 txBox="1">
          <a:spLocks noChangeArrowheads="1"/>
        </xdr:cNvSpPr>
      </xdr:nvSpPr>
      <xdr:spPr bwMode="auto">
        <a:xfrm>
          <a:off x="1236345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82" name="Text Box 45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 txBox="1">
          <a:spLocks noChangeArrowheads="1"/>
        </xdr:cNvSpPr>
      </xdr:nvSpPr>
      <xdr:spPr bwMode="auto">
        <a:xfrm>
          <a:off x="1901571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83" name="Text Box 46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 txBox="1">
          <a:spLocks noChangeArrowheads="1"/>
        </xdr:cNvSpPr>
      </xdr:nvSpPr>
      <xdr:spPr bwMode="auto">
        <a:xfrm>
          <a:off x="2509647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84" name="Text Box 47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 txBox="1">
          <a:spLocks noChangeArrowheads="1"/>
        </xdr:cNvSpPr>
      </xdr:nvSpPr>
      <xdr:spPr bwMode="auto">
        <a:xfrm>
          <a:off x="2937891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21</xdr:col>
      <xdr:colOff>0</xdr:colOff>
      <xdr:row>185</xdr:row>
      <xdr:rowOff>0</xdr:rowOff>
    </xdr:from>
    <xdr:ext cx="76200" cy="200025"/>
    <xdr:sp macro="" textlink="">
      <xdr:nvSpPr>
        <xdr:cNvPr id="85" name="Text Box 47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 txBox="1">
          <a:spLocks noChangeArrowheads="1"/>
        </xdr:cNvSpPr>
      </xdr:nvSpPr>
      <xdr:spPr bwMode="auto">
        <a:xfrm>
          <a:off x="34004250" y="5111496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185</xdr:row>
          <xdr:rowOff>0</xdr:rowOff>
        </xdr:from>
        <xdr:to>
          <xdr:col>2</xdr:col>
          <xdr:colOff>68580</xdr:colOff>
          <xdr:row>187</xdr:row>
          <xdr:rowOff>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185</xdr:row>
          <xdr:rowOff>0</xdr:rowOff>
        </xdr:from>
        <xdr:to>
          <xdr:col>6</xdr:col>
          <xdr:colOff>175260</xdr:colOff>
          <xdr:row>187</xdr:row>
          <xdr:rowOff>15240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99060</xdr:colOff>
          <xdr:row>185</xdr:row>
          <xdr:rowOff>0</xdr:rowOff>
        </xdr:from>
        <xdr:to>
          <xdr:col>10</xdr:col>
          <xdr:colOff>312420</xdr:colOff>
          <xdr:row>186</xdr:row>
          <xdr:rowOff>144780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83820</xdr:colOff>
          <xdr:row>185</xdr:row>
          <xdr:rowOff>0</xdr:rowOff>
        </xdr:from>
        <xdr:to>
          <xdr:col>18</xdr:col>
          <xdr:colOff>266700</xdr:colOff>
          <xdr:row>187</xdr:row>
          <xdr:rowOff>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0</xdr:col>
      <xdr:colOff>23132</xdr:colOff>
      <xdr:row>185</xdr:row>
      <xdr:rowOff>0</xdr:rowOff>
    </xdr:from>
    <xdr:ext cx="381388" cy="309236"/>
    <xdr:pic>
      <xdr:nvPicPr>
        <xdr:cNvPr id="95" name="Picture 3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32" y="52300960"/>
          <a:ext cx="381388" cy="3092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76200</xdr:colOff>
          <xdr:row>185</xdr:row>
          <xdr:rowOff>0</xdr:rowOff>
        </xdr:from>
        <xdr:to>
          <xdr:col>15</xdr:col>
          <xdr:colOff>45720</xdr:colOff>
          <xdr:row>187</xdr:row>
          <xdr:rowOff>68580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0</xdr:col>
          <xdr:colOff>57150</xdr:colOff>
          <xdr:row>166</xdr:row>
          <xdr:rowOff>66676</xdr:rowOff>
        </xdr:from>
        <xdr:ext cx="6652260" cy="2842260"/>
        <xdr:pic>
          <xdr:nvPicPr>
            <xdr:cNvPr id="97" name="Picture 17">
              <a:extLst>
                <a:ext uri="{FF2B5EF4-FFF2-40B4-BE49-F238E27FC236}">
                  <a16:creationId xmlns:a16="http://schemas.microsoft.com/office/drawing/2014/main" id="{00000000-0008-0000-0000-000061000000}"/>
                </a:ext>
              </a:extLst>
            </xdr:cNvPr>
            <xdr:cNvPicPr preferRelativeResize="0">
              <a:picLocks noChangeArrowheads="1"/>
              <a:extLst>
                <a:ext uri="{84589F7E-364E-4C9E-8A38-B11213B215E9}">
                  <a14:cameraTool cellRange="ImageEN8120D" spid="_x0000_s308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7150" y="32817436"/>
              <a:ext cx="6652260" cy="2842260"/>
            </a:xfrm>
            <a:prstGeom prst="rect">
              <a:avLst/>
            </a:prstGeom>
            <a:noFill/>
            <a:ln w="1">
              <a:noFill/>
              <a:miter lim="800000"/>
              <a:headEnd/>
              <a:tailEnd type="none" w="med" len="med"/>
            </a:ln>
            <a:effectLst/>
          </xdr:spPr>
        </xdr:pic>
        <xdr:clientData/>
      </xdr:one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WA/F07-440FN-f-d-i_FINAL_CONTROL_FOR_LIFTS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duction_données"/>
      <sheetName val="Page de garde"/>
      <sheetName val="LOGO"/>
      <sheetName val="EN 81-20 Français"/>
      <sheetName val="EN 81-20 Allemand"/>
      <sheetName val="EN 81-20 Italien"/>
      <sheetName val="3.1 F"/>
      <sheetName val="3.2 F"/>
      <sheetName val="El. sec. F"/>
      <sheetName val="El. sec. 2 F"/>
      <sheetName val="3.1 A"/>
      <sheetName val="3.2 A"/>
      <sheetName val="El. sec. A"/>
      <sheetName val="El. sec. 2 A"/>
      <sheetName val="3.1 I"/>
      <sheetName val="3.2 I"/>
      <sheetName val="El. sec. I"/>
      <sheetName val="El. sec. 2 I"/>
      <sheetName val="CodPos"/>
      <sheetName val="Usines"/>
    </sheetNames>
    <sheetDataSet>
      <sheetData sheetId="0">
        <row r="8">
          <cell r="G8" t="str">
            <v>Jérome Sottaz, OTIS Fribourg</v>
          </cell>
        </row>
        <row r="16">
          <cell r="G16" t="str">
            <v>M. Natali, OTIS TI</v>
          </cell>
        </row>
        <row r="26">
          <cell r="G26" t="str">
            <v>Gien</v>
          </cell>
        </row>
        <row r="173">
          <cell r="G173">
            <v>1</v>
          </cell>
        </row>
        <row r="210">
          <cell r="G210" t="str">
            <v>_________________________</v>
          </cell>
        </row>
        <row r="228">
          <cell r="G228">
            <v>2</v>
          </cell>
        </row>
        <row r="239">
          <cell r="G239" t="str">
            <v>TBA20602A992</v>
          </cell>
        </row>
        <row r="244">
          <cell r="G244" t="str">
            <v>sans/without</v>
          </cell>
        </row>
        <row r="255">
          <cell r="G255" t="str">
            <v>9672A24</v>
          </cell>
        </row>
        <row r="262">
          <cell r="G262" t="str">
            <v>T82A_T</v>
          </cell>
        </row>
        <row r="266">
          <cell r="G266" t="str">
            <v>T82A_T</v>
          </cell>
        </row>
        <row r="279">
          <cell r="G279" t="str">
            <v>F.A23400W (F.A23400AA)</v>
          </cell>
        </row>
        <row r="295">
          <cell r="G295" t="str">
            <v>Sans/Without</v>
          </cell>
        </row>
        <row r="303">
          <cell r="G303" t="str">
            <v>FAA102XR999 / Ref. 27602B</v>
          </cell>
        </row>
        <row r="318">
          <cell r="G318" t="str">
            <v>2 *FAA320CX9 / Réf 300401A</v>
          </cell>
        </row>
        <row r="323">
          <cell r="G323" t="str">
            <v>2 *FAA320CX8 / Réf 300400A</v>
          </cell>
        </row>
        <row r="333">
          <cell r="G333" t="str">
            <v>T__27076GT</v>
          </cell>
        </row>
      </sheetData>
      <sheetData sheetId="1"/>
      <sheetData sheetId="2"/>
      <sheetData sheetId="3"/>
      <sheetData sheetId="4">
        <row r="167">
          <cell r="Y167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25280-B6FC-4BE3-A531-7B38F50268AA}">
  <dimension ref="A1:U187"/>
  <sheetViews>
    <sheetView tabSelected="1" zoomScaleNormal="100" workbookViewId="0">
      <selection activeCell="AD17" sqref="AD17"/>
    </sheetView>
  </sheetViews>
  <sheetFormatPr defaultColWidth="9.109375" defaultRowHeight="13.2" x14ac:dyDescent="0.25"/>
  <cols>
    <col min="1" max="1" width="2.109375" style="156" customWidth="1"/>
    <col min="2" max="2" width="2" style="156" customWidth="1"/>
    <col min="3" max="3" width="2.33203125" style="156" customWidth="1"/>
    <col min="4" max="4" width="4.33203125" style="156" customWidth="1"/>
    <col min="5" max="5" width="8.6640625" style="156" customWidth="1"/>
    <col min="6" max="6" width="8.5546875" style="156" customWidth="1"/>
    <col min="7" max="7" width="3" style="156" customWidth="1"/>
    <col min="8" max="8" width="4.5546875" style="156" customWidth="1"/>
    <col min="9" max="9" width="4.33203125" style="156" customWidth="1"/>
    <col min="10" max="10" width="5.6640625" style="156" customWidth="1"/>
    <col min="11" max="11" width="6.6640625" style="156" customWidth="1"/>
    <col min="12" max="12" width="6.88671875" style="156" customWidth="1"/>
    <col min="13" max="13" width="5.5546875" style="156" customWidth="1"/>
    <col min="14" max="14" width="5.33203125" style="156" customWidth="1"/>
    <col min="15" max="15" width="4.5546875" style="156" customWidth="1"/>
    <col min="16" max="21" width="6.33203125" style="156" customWidth="1"/>
    <col min="22" max="16384" width="9.109375" style="156"/>
  </cols>
  <sheetData>
    <row r="1" spans="1:21" ht="19.5" customHeight="1" x14ac:dyDescent="0.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5"/>
      <c r="R1" s="5"/>
      <c r="S1" s="6"/>
      <c r="T1" s="6"/>
      <c r="U1" s="7"/>
    </row>
    <row r="2" spans="1:21" ht="19.5" customHeight="1" x14ac:dyDescent="0.5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  <c r="Q2" s="11" t="s">
        <v>1</v>
      </c>
      <c r="U2" s="157"/>
    </row>
    <row r="3" spans="1:21" ht="5.25" customHeight="1" x14ac:dyDescent="0.25">
      <c r="A3" s="12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0"/>
      <c r="P3" s="13"/>
      <c r="Q3" s="14"/>
      <c r="R3" s="14"/>
      <c r="U3" s="157"/>
    </row>
    <row r="4" spans="1:21" ht="17.399999999999999" x14ac:dyDescent="0.3">
      <c r="A4" s="15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0"/>
      <c r="Q4" s="16"/>
      <c r="U4" s="157"/>
    </row>
    <row r="5" spans="1:21" ht="14.1" customHeight="1" x14ac:dyDescent="0.25">
      <c r="A5" s="17" t="s">
        <v>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9"/>
      <c r="P5" s="20"/>
      <c r="Q5" s="154"/>
      <c r="R5" s="154"/>
      <c r="S5" s="154"/>
      <c r="T5" s="154"/>
      <c r="U5" s="155"/>
    </row>
    <row r="6" spans="1:21" ht="9.9" customHeight="1" x14ac:dyDescent="0.25">
      <c r="A6" s="21"/>
      <c r="U6" s="157"/>
    </row>
    <row r="7" spans="1:21" ht="14.1" customHeight="1" x14ac:dyDescent="0.25">
      <c r="A7" s="22" t="s">
        <v>4</v>
      </c>
      <c r="B7" s="23"/>
      <c r="C7" s="23"/>
      <c r="D7" s="23"/>
      <c r="E7" s="23" t="str">
        <f>[1]Introduction_données!G16</f>
        <v>M. Natali, OTIS TI</v>
      </c>
      <c r="F7" s="23"/>
      <c r="G7" s="23"/>
      <c r="H7" s="23"/>
      <c r="I7" s="23"/>
      <c r="J7" s="24"/>
      <c r="L7" s="156" t="s">
        <v>5</v>
      </c>
      <c r="N7" s="164"/>
      <c r="O7" s="164"/>
      <c r="U7" s="157"/>
    </row>
    <row r="8" spans="1:21" ht="14.1" customHeight="1" x14ac:dyDescent="0.25">
      <c r="A8" s="26" t="s">
        <v>6</v>
      </c>
      <c r="B8" s="27"/>
      <c r="C8" s="27"/>
      <c r="D8" s="27"/>
      <c r="E8" s="27" t="str">
        <f>[1]Introduction_données!G8</f>
        <v>Jérome Sottaz, OTIS Fribourg</v>
      </c>
      <c r="F8" s="27"/>
      <c r="G8" s="27"/>
      <c r="H8" s="27"/>
      <c r="I8" s="27"/>
      <c r="J8" s="28"/>
      <c r="N8" s="164"/>
      <c r="O8" s="164"/>
      <c r="P8" s="164"/>
      <c r="U8" s="157"/>
    </row>
    <row r="9" spans="1:21" ht="14.1" customHeight="1" x14ac:dyDescent="0.25">
      <c r="A9" s="29"/>
      <c r="J9" s="157"/>
      <c r="N9" s="164"/>
      <c r="O9" s="164"/>
      <c r="P9" s="164"/>
      <c r="Q9" s="164"/>
      <c r="U9" s="157"/>
    </row>
    <row r="10" spans="1:21" ht="21" customHeight="1" x14ac:dyDescent="0.3">
      <c r="A10" s="29" t="s">
        <v>7</v>
      </c>
      <c r="E10" s="257"/>
      <c r="F10" s="257"/>
      <c r="G10" s="257"/>
      <c r="J10" s="157"/>
      <c r="N10" s="164"/>
      <c r="O10" s="164"/>
      <c r="U10" s="157"/>
    </row>
    <row r="11" spans="1:21" ht="6.9" customHeight="1" thickBot="1" x14ac:dyDescent="0.3">
      <c r="A11" s="20"/>
      <c r="B11" s="154"/>
      <c r="C11" s="154"/>
      <c r="D11" s="154"/>
      <c r="E11" s="154"/>
      <c r="F11" s="154"/>
      <c r="G11" s="154"/>
      <c r="H11" s="154"/>
      <c r="I11" s="154"/>
      <c r="J11" s="155"/>
      <c r="U11" s="157"/>
    </row>
    <row r="12" spans="1:21" ht="14.1" customHeight="1" x14ac:dyDescent="0.25">
      <c r="A12" s="216" t="s">
        <v>8</v>
      </c>
      <c r="B12" s="217"/>
      <c r="C12" s="218"/>
      <c r="D12" s="251" t="s">
        <v>9</v>
      </c>
      <c r="E12" s="252"/>
      <c r="F12" s="252"/>
      <c r="G12" s="252"/>
      <c r="H12" s="253"/>
      <c r="I12" s="216" t="s">
        <v>10</v>
      </c>
      <c r="J12" s="218"/>
      <c r="K12" s="216" t="s">
        <v>11</v>
      </c>
      <c r="L12" s="217"/>
      <c r="M12" s="218"/>
      <c r="N12" s="216" t="s">
        <v>12</v>
      </c>
      <c r="O12" s="218"/>
      <c r="P12" s="217" t="s">
        <v>13</v>
      </c>
      <c r="Q12" s="217"/>
      <c r="R12" s="218"/>
      <c r="S12" s="142"/>
      <c r="T12" s="142" t="s">
        <v>14</v>
      </c>
      <c r="U12" s="143"/>
    </row>
    <row r="13" spans="1:21" ht="14.1" customHeight="1" x14ac:dyDescent="0.25">
      <c r="A13" s="222" t="s">
        <v>15</v>
      </c>
      <c r="B13" s="223"/>
      <c r="C13" s="224"/>
      <c r="D13" s="244"/>
      <c r="E13" s="245"/>
      <c r="F13" s="245"/>
      <c r="G13" s="245"/>
      <c r="H13" s="246"/>
      <c r="I13" s="29" t="s">
        <v>16</v>
      </c>
      <c r="J13" s="157"/>
      <c r="K13" s="225"/>
      <c r="L13" s="223"/>
      <c r="M13" s="224"/>
      <c r="N13" s="225" t="s">
        <v>17</v>
      </c>
      <c r="O13" s="224"/>
      <c r="P13" s="225"/>
      <c r="Q13" s="223"/>
      <c r="R13" s="224"/>
      <c r="S13" s="225"/>
      <c r="T13" s="223"/>
      <c r="U13" s="224"/>
    </row>
    <row r="14" spans="1:21" x14ac:dyDescent="0.25">
      <c r="A14" s="241" t="s">
        <v>18</v>
      </c>
      <c r="B14" s="242"/>
      <c r="C14" s="243"/>
      <c r="D14" s="244"/>
      <c r="E14" s="245"/>
      <c r="F14" s="245"/>
      <c r="G14" s="245"/>
      <c r="H14" s="246"/>
      <c r="I14" s="225"/>
      <c r="J14" s="224"/>
      <c r="K14" s="225"/>
      <c r="L14" s="223"/>
      <c r="M14" s="224"/>
      <c r="N14" s="225"/>
      <c r="O14" s="224"/>
      <c r="P14" s="225"/>
      <c r="Q14" s="223"/>
      <c r="R14" s="224"/>
      <c r="S14" s="225"/>
      <c r="T14" s="223"/>
      <c r="U14" s="224"/>
    </row>
    <row r="15" spans="1:21" ht="14.1" customHeight="1" x14ac:dyDescent="0.25">
      <c r="A15" s="232" t="s">
        <v>19</v>
      </c>
      <c r="B15" s="233"/>
      <c r="C15" s="234"/>
      <c r="D15" s="235"/>
      <c r="E15" s="236"/>
      <c r="F15" s="236"/>
      <c r="G15" s="236"/>
      <c r="H15" s="237"/>
      <c r="I15" s="156" t="s">
        <v>20</v>
      </c>
      <c r="K15" s="238"/>
      <c r="L15" s="239"/>
      <c r="M15" s="240"/>
      <c r="N15" s="238"/>
      <c r="O15" s="240"/>
      <c r="P15" s="238"/>
      <c r="Q15" s="239"/>
      <c r="R15" s="240"/>
      <c r="S15" s="238" t="s">
        <v>21</v>
      </c>
      <c r="T15" s="239"/>
      <c r="U15" s="240"/>
    </row>
    <row r="16" spans="1:21" x14ac:dyDescent="0.25">
      <c r="A16" s="229"/>
      <c r="B16" s="229"/>
      <c r="C16" s="229"/>
      <c r="D16" s="230"/>
      <c r="E16" s="230"/>
      <c r="F16" s="230"/>
      <c r="G16" s="230"/>
      <c r="H16" s="230"/>
      <c r="I16" s="30"/>
      <c r="J16" s="30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</row>
    <row r="17" spans="1:21" x14ac:dyDescent="0.25">
      <c r="A17" s="229"/>
      <c r="B17" s="229"/>
      <c r="C17" s="229"/>
      <c r="D17" s="230"/>
      <c r="E17" s="230"/>
      <c r="F17" s="230"/>
      <c r="G17" s="230"/>
      <c r="H17" s="230"/>
      <c r="I17" s="30"/>
      <c r="J17" s="30"/>
      <c r="K17" s="231"/>
      <c r="L17" s="231"/>
      <c r="M17" s="231"/>
      <c r="N17" s="231"/>
      <c r="O17" s="231"/>
      <c r="P17" s="231"/>
      <c r="Q17" s="231"/>
      <c r="R17" s="231"/>
      <c r="S17" s="231"/>
      <c r="T17" s="231"/>
      <c r="U17" s="231"/>
    </row>
    <row r="18" spans="1:21" x14ac:dyDescent="0.25">
      <c r="A18" s="229"/>
      <c r="B18" s="229"/>
      <c r="C18" s="229"/>
      <c r="D18" s="230"/>
      <c r="E18" s="230"/>
      <c r="F18" s="230"/>
      <c r="G18" s="230"/>
      <c r="H18" s="230"/>
      <c r="I18" s="30"/>
      <c r="J18" s="30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</row>
    <row r="19" spans="1:21" x14ac:dyDescent="0.25">
      <c r="A19" s="229"/>
      <c r="B19" s="229"/>
      <c r="C19" s="229"/>
      <c r="D19" s="230"/>
      <c r="E19" s="230"/>
      <c r="F19" s="230"/>
      <c r="G19" s="230"/>
      <c r="H19" s="230"/>
      <c r="I19" s="30"/>
      <c r="J19" s="30"/>
      <c r="K19" s="231"/>
      <c r="L19" s="231"/>
      <c r="M19" s="231"/>
      <c r="N19" s="231"/>
      <c r="O19" s="231"/>
      <c r="P19" s="231"/>
      <c r="Q19" s="231"/>
      <c r="R19" s="231"/>
      <c r="S19" s="231"/>
      <c r="T19" s="231"/>
      <c r="U19" s="231"/>
    </row>
    <row r="20" spans="1:21" ht="13.8" thickBot="1" x14ac:dyDescent="0.3">
      <c r="A20" s="226"/>
      <c r="B20" s="226"/>
      <c r="C20" s="226"/>
      <c r="D20" s="227"/>
      <c r="E20" s="227"/>
      <c r="F20" s="227"/>
      <c r="G20" s="227"/>
      <c r="H20" s="227"/>
      <c r="I20" s="31"/>
      <c r="J20" s="31"/>
      <c r="K20" s="228"/>
      <c r="L20" s="228"/>
      <c r="M20" s="228"/>
      <c r="N20" s="228"/>
      <c r="O20" s="228"/>
      <c r="P20" s="228"/>
      <c r="Q20" s="228"/>
      <c r="R20" s="228"/>
      <c r="S20" s="228"/>
      <c r="T20" s="228"/>
      <c r="U20" s="228"/>
    </row>
    <row r="21" spans="1:21" x14ac:dyDescent="0.25">
      <c r="A21" s="29" t="s">
        <v>22</v>
      </c>
      <c r="D21" s="145"/>
      <c r="F21" s="145"/>
      <c r="U21" s="157"/>
    </row>
    <row r="22" spans="1:21" ht="9.9" customHeight="1" x14ac:dyDescent="0.25">
      <c r="A22" s="32"/>
      <c r="D22" s="145"/>
      <c r="F22" s="145"/>
      <c r="U22" s="157"/>
    </row>
    <row r="23" spans="1:21" ht="15" x14ac:dyDescent="0.25">
      <c r="A23" s="32" t="s">
        <v>23</v>
      </c>
      <c r="D23" s="145"/>
      <c r="F23" s="145"/>
      <c r="U23" s="157"/>
    </row>
    <row r="24" spans="1:21" ht="15" x14ac:dyDescent="0.25">
      <c r="A24" s="32" t="s">
        <v>24</v>
      </c>
      <c r="D24" s="145"/>
      <c r="F24" s="145"/>
      <c r="U24" s="157"/>
    </row>
    <row r="25" spans="1:21" ht="9.9" customHeight="1" x14ac:dyDescent="0.25">
      <c r="A25" s="32"/>
      <c r="D25" s="145"/>
      <c r="F25" s="145"/>
      <c r="U25" s="157"/>
    </row>
    <row r="26" spans="1:21" ht="15" x14ac:dyDescent="0.25">
      <c r="A26" s="32" t="s">
        <v>25</v>
      </c>
      <c r="D26" s="145"/>
      <c r="F26" s="145"/>
      <c r="U26" s="157"/>
    </row>
    <row r="27" spans="1:21" ht="15" x14ac:dyDescent="0.25">
      <c r="A27" s="32" t="s">
        <v>26</v>
      </c>
      <c r="D27" s="145"/>
      <c r="F27" s="145"/>
      <c r="U27" s="157"/>
    </row>
    <row r="28" spans="1:21" ht="6" customHeight="1" x14ac:dyDescent="0.25">
      <c r="A28" s="32"/>
      <c r="D28" s="145"/>
      <c r="F28" s="145"/>
      <c r="U28" s="157"/>
    </row>
    <row r="29" spans="1:21" ht="21" customHeight="1" x14ac:dyDescent="0.25">
      <c r="A29" s="247" t="s">
        <v>27</v>
      </c>
      <c r="B29" s="248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9"/>
    </row>
    <row r="30" spans="1:21" ht="6.9" customHeight="1" x14ac:dyDescent="0.25">
      <c r="A30" s="159"/>
      <c r="B30" s="160"/>
      <c r="C30" s="160"/>
      <c r="D30" s="160"/>
      <c r="E30" s="160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/>
    </row>
    <row r="31" spans="1:21" ht="19.5" customHeight="1" x14ac:dyDescent="0.4">
      <c r="A31" s="35" t="s">
        <v>28</v>
      </c>
      <c r="B31" s="36"/>
      <c r="C31" s="36"/>
      <c r="D31" s="37"/>
      <c r="E31" s="36"/>
      <c r="F31" s="38"/>
      <c r="G31" s="36"/>
      <c r="H31" s="36"/>
      <c r="I31" s="36"/>
      <c r="J31" s="36"/>
      <c r="K31" s="36"/>
      <c r="L31" s="36"/>
      <c r="M31" s="36"/>
      <c r="N31" s="39"/>
      <c r="O31" s="36"/>
      <c r="P31" s="40"/>
      <c r="Q31" s="41" t="s">
        <v>29</v>
      </c>
      <c r="R31" s="42" t="s">
        <v>30</v>
      </c>
      <c r="S31" s="41" t="s">
        <v>31</v>
      </c>
      <c r="T31" s="42" t="s">
        <v>32</v>
      </c>
      <c r="U31" s="43"/>
    </row>
    <row r="32" spans="1:21" ht="14.1" customHeight="1" x14ac:dyDescent="0.25">
      <c r="A32" s="35" t="s">
        <v>190</v>
      </c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43"/>
    </row>
    <row r="33" spans="1:21" ht="13.5" customHeight="1" x14ac:dyDescent="0.4">
      <c r="A33" s="35"/>
      <c r="B33" s="36"/>
      <c r="C33" s="36"/>
      <c r="D33" s="37"/>
      <c r="E33" s="36"/>
      <c r="F33" s="38"/>
      <c r="G33" s="36"/>
      <c r="H33" s="36"/>
      <c r="I33" s="36"/>
      <c r="J33" s="36"/>
      <c r="K33" s="36"/>
      <c r="L33" s="36"/>
      <c r="M33" s="36"/>
      <c r="N33" s="39"/>
      <c r="O33" s="36"/>
      <c r="P33" s="40"/>
      <c r="Q33" s="40"/>
      <c r="R33" s="36"/>
      <c r="S33" s="36"/>
      <c r="T33" s="44"/>
      <c r="U33" s="43"/>
    </row>
    <row r="34" spans="1:21" ht="19.5" customHeight="1" x14ac:dyDescent="0.4">
      <c r="A34" s="35" t="s">
        <v>33</v>
      </c>
      <c r="B34" s="36"/>
      <c r="C34" s="36"/>
      <c r="D34" s="37"/>
      <c r="E34" s="36"/>
      <c r="F34" s="38"/>
      <c r="G34" s="36"/>
      <c r="H34" s="36"/>
      <c r="I34" s="36"/>
      <c r="J34" s="36"/>
      <c r="K34" s="36"/>
      <c r="L34" s="36"/>
      <c r="M34" s="36"/>
      <c r="N34" s="39"/>
      <c r="O34" s="36"/>
      <c r="P34" s="40"/>
      <c r="Q34" s="41" t="s">
        <v>29</v>
      </c>
      <c r="R34" s="42" t="s">
        <v>30</v>
      </c>
      <c r="S34" s="41" t="s">
        <v>31</v>
      </c>
      <c r="T34" s="42" t="s">
        <v>32</v>
      </c>
      <c r="U34" s="43"/>
    </row>
    <row r="35" spans="1:21" ht="14.1" customHeight="1" x14ac:dyDescent="0.25">
      <c r="A35" s="35" t="s">
        <v>34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43"/>
    </row>
    <row r="36" spans="1:21" ht="8.1" customHeight="1" x14ac:dyDescent="0.25">
      <c r="A36" s="35"/>
      <c r="B36" s="36"/>
      <c r="C36" s="36"/>
      <c r="D36" s="36"/>
      <c r="E36" s="36"/>
      <c r="F36" s="36"/>
      <c r="G36" s="36"/>
      <c r="H36" s="36"/>
      <c r="I36" s="45"/>
      <c r="J36" s="36"/>
      <c r="K36" s="36"/>
      <c r="L36" s="36"/>
      <c r="M36" s="36"/>
      <c r="N36" s="36"/>
      <c r="O36" s="36"/>
      <c r="P36" s="45"/>
      <c r="Q36" s="36"/>
      <c r="R36" s="36"/>
      <c r="S36" s="36"/>
      <c r="T36" s="36"/>
      <c r="U36" s="43"/>
    </row>
    <row r="37" spans="1:21" ht="9.9" customHeight="1" x14ac:dyDescent="0.25">
      <c r="A37" s="29"/>
      <c r="U37" s="157"/>
    </row>
    <row r="38" spans="1:21" ht="15.6" x14ac:dyDescent="0.3">
      <c r="A38" s="46" t="s">
        <v>35</v>
      </c>
      <c r="U38" s="157"/>
    </row>
    <row r="39" spans="1:21" ht="9.9" customHeight="1" thickBot="1" x14ac:dyDescent="0.3">
      <c r="A39" s="29"/>
      <c r="U39" s="157"/>
    </row>
    <row r="40" spans="1:21" ht="14.1" customHeight="1" x14ac:dyDescent="0.25">
      <c r="A40" s="216" t="s">
        <v>8</v>
      </c>
      <c r="B40" s="217"/>
      <c r="C40" s="218"/>
      <c r="D40" s="219" t="s">
        <v>9</v>
      </c>
      <c r="E40" s="220"/>
      <c r="F40" s="220"/>
      <c r="G40" s="220"/>
      <c r="H40" s="220"/>
      <c r="I40" s="220"/>
      <c r="J40" s="220"/>
      <c r="K40" s="220"/>
      <c r="L40" s="221"/>
      <c r="M40" s="216" t="s">
        <v>11</v>
      </c>
      <c r="N40" s="217"/>
      <c r="O40" s="218"/>
      <c r="P40" s="217" t="s">
        <v>36</v>
      </c>
      <c r="Q40" s="217"/>
      <c r="R40" s="218"/>
      <c r="S40" s="217" t="s">
        <v>37</v>
      </c>
      <c r="T40" s="217"/>
      <c r="U40" s="218"/>
    </row>
    <row r="41" spans="1:21" ht="14.1" customHeight="1" x14ac:dyDescent="0.25">
      <c r="A41" s="222" t="s">
        <v>38</v>
      </c>
      <c r="B41" s="223"/>
      <c r="C41" s="224"/>
      <c r="D41" s="225"/>
      <c r="E41" s="223"/>
      <c r="F41" s="223"/>
      <c r="G41" s="223"/>
      <c r="H41" s="223"/>
      <c r="I41" s="223"/>
      <c r="J41" s="223"/>
      <c r="K41" s="223"/>
      <c r="L41" s="224"/>
      <c r="M41" s="225"/>
      <c r="N41" s="223"/>
      <c r="O41" s="224"/>
      <c r="P41" s="225"/>
      <c r="Q41" s="223"/>
      <c r="R41" s="224"/>
      <c r="S41" s="225" t="s">
        <v>21</v>
      </c>
      <c r="T41" s="223"/>
      <c r="U41" s="224"/>
    </row>
    <row r="42" spans="1:21" ht="15.45" customHeight="1" x14ac:dyDescent="0.25">
      <c r="A42" s="254"/>
      <c r="B42" s="255"/>
      <c r="C42" s="256"/>
      <c r="D42" s="213"/>
      <c r="E42" s="214"/>
      <c r="F42" s="214"/>
      <c r="G42" s="214"/>
      <c r="H42" s="214"/>
      <c r="I42" s="214"/>
      <c r="J42" s="214"/>
      <c r="K42" s="214"/>
      <c r="L42" s="215"/>
      <c r="M42" s="213"/>
      <c r="N42" s="214"/>
      <c r="O42" s="215"/>
      <c r="P42" s="213"/>
      <c r="Q42" s="214"/>
      <c r="R42" s="215"/>
      <c r="S42" s="213"/>
      <c r="T42" s="214"/>
      <c r="U42" s="215"/>
    </row>
    <row r="43" spans="1:21" ht="15.45" customHeight="1" x14ac:dyDescent="0.25">
      <c r="A43" s="254"/>
      <c r="B43" s="255"/>
      <c r="C43" s="256"/>
      <c r="D43" s="213"/>
      <c r="E43" s="214"/>
      <c r="F43" s="214"/>
      <c r="G43" s="214"/>
      <c r="H43" s="214"/>
      <c r="I43" s="214"/>
      <c r="J43" s="214"/>
      <c r="K43" s="214"/>
      <c r="L43" s="215"/>
      <c r="M43" s="213"/>
      <c r="N43" s="214"/>
      <c r="O43" s="215"/>
      <c r="P43" s="213"/>
      <c r="Q43" s="214"/>
      <c r="R43" s="215"/>
      <c r="S43" s="213"/>
      <c r="T43" s="214"/>
      <c r="U43" s="215"/>
    </row>
    <row r="44" spans="1:21" ht="15.45" customHeight="1" x14ac:dyDescent="0.25">
      <c r="A44" s="254"/>
      <c r="B44" s="255"/>
      <c r="C44" s="256"/>
      <c r="D44" s="213"/>
      <c r="E44" s="214"/>
      <c r="F44" s="214"/>
      <c r="G44" s="214"/>
      <c r="H44" s="214"/>
      <c r="I44" s="214"/>
      <c r="J44" s="214"/>
      <c r="K44" s="214"/>
      <c r="L44" s="215"/>
      <c r="M44" s="213"/>
      <c r="N44" s="214"/>
      <c r="O44" s="215"/>
      <c r="P44" s="213"/>
      <c r="Q44" s="214"/>
      <c r="R44" s="215"/>
      <c r="S44" s="213"/>
      <c r="T44" s="214"/>
      <c r="U44" s="215"/>
    </row>
    <row r="45" spans="1:21" ht="15.45" customHeight="1" x14ac:dyDescent="0.25">
      <c r="A45" s="254"/>
      <c r="B45" s="255"/>
      <c r="C45" s="256"/>
      <c r="D45" s="213"/>
      <c r="E45" s="214"/>
      <c r="F45" s="214"/>
      <c r="G45" s="214"/>
      <c r="H45" s="214"/>
      <c r="I45" s="214"/>
      <c r="J45" s="214"/>
      <c r="K45" s="214"/>
      <c r="L45" s="215"/>
      <c r="M45" s="213"/>
      <c r="N45" s="214"/>
      <c r="O45" s="215"/>
      <c r="P45" s="213"/>
      <c r="Q45" s="214"/>
      <c r="R45" s="215"/>
      <c r="S45" s="213"/>
      <c r="T45" s="214"/>
      <c r="U45" s="215"/>
    </row>
    <row r="46" spans="1:21" ht="15.45" customHeight="1" x14ac:dyDescent="0.25">
      <c r="A46" s="254"/>
      <c r="B46" s="255"/>
      <c r="C46" s="256"/>
      <c r="D46" s="213"/>
      <c r="E46" s="214"/>
      <c r="F46" s="214"/>
      <c r="G46" s="214"/>
      <c r="H46" s="214"/>
      <c r="I46" s="214"/>
      <c r="J46" s="214"/>
      <c r="K46" s="214"/>
      <c r="L46" s="215"/>
      <c r="M46" s="213"/>
      <c r="N46" s="214"/>
      <c r="O46" s="215"/>
      <c r="P46" s="213"/>
      <c r="Q46" s="214"/>
      <c r="R46" s="215"/>
      <c r="S46" s="213"/>
      <c r="T46" s="214"/>
      <c r="U46" s="215"/>
    </row>
    <row r="47" spans="1:21" x14ac:dyDescent="0.25">
      <c r="A47" s="29" t="s">
        <v>22</v>
      </c>
      <c r="U47" s="157"/>
    </row>
    <row r="48" spans="1:21" ht="6" customHeight="1" x14ac:dyDescent="0.25">
      <c r="A48" s="32"/>
      <c r="D48" s="145"/>
      <c r="F48" s="145"/>
      <c r="U48" s="157"/>
    </row>
    <row r="49" spans="1:21" ht="21" customHeight="1" x14ac:dyDescent="0.25">
      <c r="A49" s="247" t="s">
        <v>39</v>
      </c>
      <c r="B49" s="248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 t="s">
        <v>40</v>
      </c>
      <c r="N49" s="248"/>
      <c r="O49" s="248"/>
      <c r="P49" s="248"/>
      <c r="Q49" s="248"/>
      <c r="R49" s="248"/>
      <c r="S49" s="248"/>
      <c r="T49" s="248"/>
      <c r="U49" s="249"/>
    </row>
    <row r="50" spans="1:21" ht="6.9" customHeight="1" x14ac:dyDescent="0.25">
      <c r="A50" s="159"/>
      <c r="B50" s="160"/>
      <c r="C50" s="160"/>
      <c r="D50" s="160"/>
      <c r="E50" s="160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</row>
    <row r="51" spans="1:21" ht="19.5" customHeight="1" x14ac:dyDescent="0.4">
      <c r="A51" s="35" t="s">
        <v>41</v>
      </c>
      <c r="B51" s="36"/>
      <c r="C51" s="36"/>
      <c r="D51" s="37"/>
      <c r="E51" s="36"/>
      <c r="F51" s="38"/>
      <c r="G51" s="36"/>
      <c r="H51" s="36"/>
      <c r="I51" s="36"/>
      <c r="J51" s="36"/>
      <c r="K51" s="36"/>
      <c r="L51" s="36"/>
      <c r="M51" s="36"/>
      <c r="N51" s="39"/>
      <c r="O51" s="36"/>
      <c r="P51" s="40"/>
      <c r="Q51" s="41" t="s">
        <v>29</v>
      </c>
      <c r="R51" s="42" t="s">
        <v>30</v>
      </c>
      <c r="S51" s="41" t="s">
        <v>31</v>
      </c>
      <c r="T51" s="42" t="s">
        <v>32</v>
      </c>
      <c r="U51" s="43"/>
    </row>
    <row r="52" spans="1:21" ht="14.1" customHeight="1" x14ac:dyDescent="0.25">
      <c r="A52" s="35" t="s">
        <v>42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43"/>
    </row>
    <row r="53" spans="1:21" ht="13.5" customHeight="1" x14ac:dyDescent="0.4">
      <c r="A53" s="35"/>
      <c r="B53" s="36"/>
      <c r="C53" s="36"/>
      <c r="D53" s="37"/>
      <c r="E53" s="36"/>
      <c r="F53" s="38"/>
      <c r="G53" s="36"/>
      <c r="H53" s="36"/>
      <c r="I53" s="36"/>
      <c r="J53" s="36"/>
      <c r="K53" s="36"/>
      <c r="L53" s="36"/>
      <c r="M53" s="36"/>
      <c r="N53" s="39"/>
      <c r="O53" s="36"/>
      <c r="P53" s="40"/>
      <c r="Q53" s="40"/>
      <c r="R53" s="36"/>
      <c r="S53" s="36"/>
      <c r="T53" s="44"/>
      <c r="U53" s="43"/>
    </row>
    <row r="54" spans="1:21" ht="19.5" customHeight="1" x14ac:dyDescent="0.4">
      <c r="A54" s="35" t="s">
        <v>43</v>
      </c>
      <c r="B54" s="36"/>
      <c r="C54" s="36"/>
      <c r="D54" s="37"/>
      <c r="E54" s="36"/>
      <c r="F54" s="38"/>
      <c r="G54" s="36"/>
      <c r="H54" s="36"/>
      <c r="I54" s="36"/>
      <c r="J54" s="36"/>
      <c r="K54" s="36"/>
      <c r="L54" s="36"/>
      <c r="M54" s="36"/>
      <c r="N54" s="39"/>
      <c r="O54" s="36"/>
      <c r="P54" s="40"/>
      <c r="Q54" s="41" t="s">
        <v>29</v>
      </c>
      <c r="R54" s="42" t="s">
        <v>30</v>
      </c>
      <c r="S54" s="41" t="s">
        <v>31</v>
      </c>
      <c r="T54" s="42" t="s">
        <v>32</v>
      </c>
      <c r="U54" s="43"/>
    </row>
    <row r="55" spans="1:21" ht="14.1" customHeight="1" x14ac:dyDescent="0.25">
      <c r="A55" s="35" t="s">
        <v>44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43"/>
    </row>
    <row r="56" spans="1:21" ht="8.1" customHeight="1" x14ac:dyDescent="0.25">
      <c r="A56" s="35"/>
      <c r="B56" s="36"/>
      <c r="C56" s="36"/>
      <c r="D56" s="36"/>
      <c r="E56" s="36"/>
      <c r="F56" s="36"/>
      <c r="G56" s="36"/>
      <c r="H56" s="36"/>
      <c r="I56" s="45"/>
      <c r="J56" s="36"/>
      <c r="K56" s="36"/>
      <c r="L56" s="36"/>
      <c r="M56" s="36"/>
      <c r="N56" s="36"/>
      <c r="O56" s="36"/>
      <c r="P56" s="45"/>
      <c r="Q56" s="36"/>
      <c r="R56" s="36"/>
      <c r="S56" s="36"/>
      <c r="T56" s="36"/>
      <c r="U56" s="43"/>
    </row>
    <row r="57" spans="1:21" ht="9.9" customHeight="1" x14ac:dyDescent="0.25">
      <c r="A57" s="29"/>
      <c r="U57" s="157"/>
    </row>
    <row r="58" spans="1:21" ht="15" x14ac:dyDescent="0.25">
      <c r="A58" s="32" t="s">
        <v>45</v>
      </c>
      <c r="J58" s="144" t="s">
        <v>46</v>
      </c>
      <c r="K58" s="156" t="s">
        <v>47</v>
      </c>
      <c r="P58" s="47"/>
      <c r="Q58" s="47"/>
      <c r="R58" s="47" t="s">
        <v>48</v>
      </c>
      <c r="U58" s="157"/>
    </row>
    <row r="59" spans="1:21" ht="9.9" customHeight="1" x14ac:dyDescent="0.25">
      <c r="A59" s="32"/>
      <c r="J59" s="144"/>
      <c r="P59" s="47"/>
      <c r="Q59" s="47"/>
      <c r="R59" s="47"/>
      <c r="U59" s="157"/>
    </row>
    <row r="60" spans="1:21" ht="15" x14ac:dyDescent="0.25">
      <c r="A60" s="32" t="s">
        <v>49</v>
      </c>
      <c r="J60" s="144" t="s">
        <v>46</v>
      </c>
      <c r="K60" s="156" t="s">
        <v>47</v>
      </c>
      <c r="P60" s="47"/>
      <c r="Q60" s="47"/>
      <c r="R60" s="47" t="s">
        <v>48</v>
      </c>
      <c r="U60" s="157"/>
    </row>
    <row r="61" spans="1:21" ht="9.9" customHeight="1" x14ac:dyDescent="0.25">
      <c r="A61" s="32"/>
      <c r="J61" s="144"/>
      <c r="P61" s="47"/>
      <c r="Q61" s="47"/>
      <c r="R61" s="47"/>
      <c r="U61" s="157"/>
    </row>
    <row r="62" spans="1:21" ht="15" x14ac:dyDescent="0.25">
      <c r="A62" s="32" t="s">
        <v>50</v>
      </c>
      <c r="J62" s="144" t="s">
        <v>46</v>
      </c>
      <c r="K62" s="156" t="s">
        <v>47</v>
      </c>
      <c r="P62" s="47"/>
      <c r="Q62" s="47"/>
      <c r="R62" s="47" t="s">
        <v>48</v>
      </c>
      <c r="U62" s="157"/>
    </row>
    <row r="63" spans="1:21" ht="15" x14ac:dyDescent="0.25">
      <c r="A63" s="29" t="s">
        <v>51</v>
      </c>
      <c r="J63" s="144"/>
      <c r="P63" s="47"/>
      <c r="Q63" s="47"/>
      <c r="R63" s="47"/>
      <c r="U63" s="157"/>
    </row>
    <row r="64" spans="1:21" ht="9.9" customHeight="1" x14ac:dyDescent="0.25">
      <c r="A64" s="29"/>
      <c r="J64" s="144"/>
      <c r="U64" s="157"/>
    </row>
    <row r="65" spans="1:21" ht="15" x14ac:dyDescent="0.25">
      <c r="A65" s="32" t="s">
        <v>52</v>
      </c>
      <c r="J65" s="144" t="s">
        <v>46</v>
      </c>
      <c r="K65" s="156" t="s">
        <v>47</v>
      </c>
      <c r="P65" s="47"/>
      <c r="Q65" s="47"/>
      <c r="R65" s="47" t="s">
        <v>48</v>
      </c>
      <c r="U65" s="157"/>
    </row>
    <row r="66" spans="1:21" ht="9.9" customHeight="1" x14ac:dyDescent="0.25">
      <c r="A66" s="148"/>
      <c r="B66" s="149"/>
      <c r="C66" s="149"/>
      <c r="D66" s="146"/>
      <c r="E66" s="154"/>
      <c r="F66" s="146"/>
      <c r="G66" s="48"/>
      <c r="H66" s="48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5"/>
    </row>
    <row r="67" spans="1:21" ht="26.25" customHeight="1" x14ac:dyDescent="0.3">
      <c r="A67" s="49" t="s">
        <v>53</v>
      </c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1"/>
    </row>
    <row r="68" spans="1:21" ht="14.1" customHeight="1" x14ac:dyDescent="0.25">
      <c r="A68" s="52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7"/>
    </row>
    <row r="69" spans="1:21" ht="14.1" customHeight="1" x14ac:dyDescent="0.25">
      <c r="A69" s="29" t="s">
        <v>54</v>
      </c>
      <c r="G69" s="165"/>
      <c r="H69" s="165"/>
      <c r="I69" s="165"/>
      <c r="J69" s="165"/>
      <c r="M69" s="54" t="s">
        <v>55</v>
      </c>
      <c r="N69" s="54"/>
      <c r="O69" s="54"/>
      <c r="P69" s="54"/>
      <c r="U69" s="55" t="s">
        <v>56</v>
      </c>
    </row>
    <row r="70" spans="1:21" ht="14.1" customHeight="1" x14ac:dyDescent="0.25">
      <c r="A70" s="29"/>
      <c r="M70" s="156" t="s">
        <v>57</v>
      </c>
      <c r="Q70" s="25" t="str">
        <f>[1]Introduction_données!G210</f>
        <v>_________________________</v>
      </c>
      <c r="U70" s="30"/>
    </row>
    <row r="71" spans="1:21" ht="14.1" customHeight="1" x14ac:dyDescent="0.3">
      <c r="A71" s="29" t="s">
        <v>58</v>
      </c>
      <c r="G71" s="161"/>
      <c r="H71" s="162"/>
      <c r="M71" s="156" t="s">
        <v>59</v>
      </c>
      <c r="Q71" s="53" t="str">
        <f>[1]Introduction_données!G333</f>
        <v>T__27076GT</v>
      </c>
      <c r="U71" s="30"/>
    </row>
    <row r="72" spans="1:21" ht="14.1" customHeight="1" x14ac:dyDescent="0.25">
      <c r="A72" s="29" t="s">
        <v>60</v>
      </c>
      <c r="G72" s="141"/>
      <c r="M72" s="156" t="s">
        <v>61</v>
      </c>
      <c r="Q72" s="53" t="str">
        <f>[1]Introduction_données!G239</f>
        <v>TBA20602A992</v>
      </c>
      <c r="U72" s="30"/>
    </row>
    <row r="73" spans="1:21" ht="14.1" customHeight="1" x14ac:dyDescent="0.25">
      <c r="A73" s="29"/>
      <c r="M73" s="156" t="s">
        <v>62</v>
      </c>
      <c r="Q73" s="53" t="str">
        <f>[1]Introduction_données!G244</f>
        <v>sans/without</v>
      </c>
      <c r="U73" s="30"/>
    </row>
    <row r="74" spans="1:21" ht="14.1" customHeight="1" x14ac:dyDescent="0.25">
      <c r="A74" s="29" t="s">
        <v>63</v>
      </c>
      <c r="G74" s="250"/>
      <c r="H74" s="250"/>
      <c r="M74" s="156" t="s">
        <v>64</v>
      </c>
      <c r="Q74" s="53" t="str">
        <f>[1]Introduction_données!G255</f>
        <v>9672A24</v>
      </c>
      <c r="U74" s="30"/>
    </row>
    <row r="75" spans="1:21" ht="14.1" customHeight="1" x14ac:dyDescent="0.25">
      <c r="A75" s="29"/>
      <c r="M75" s="156" t="s">
        <v>65</v>
      </c>
      <c r="Q75" s="53" t="str">
        <f>[1]Introduction_données!G295</f>
        <v>Sans/Without</v>
      </c>
      <c r="U75" s="30"/>
    </row>
    <row r="76" spans="1:21" ht="14.1" customHeight="1" x14ac:dyDescent="0.25">
      <c r="A76" s="29" t="s">
        <v>66</v>
      </c>
      <c r="G76" s="163"/>
      <c r="H76" s="163"/>
      <c r="M76" s="156" t="s">
        <v>67</v>
      </c>
      <c r="Q76" s="53" t="str">
        <f>[1]Introduction_données!G318</f>
        <v>2 *FAA320CX9 / Réf 300401A</v>
      </c>
      <c r="U76" s="30"/>
    </row>
    <row r="77" spans="1:21" ht="14.1" customHeight="1" x14ac:dyDescent="0.25">
      <c r="A77" s="29" t="s">
        <v>68</v>
      </c>
      <c r="G77" s="158"/>
      <c r="M77" s="156" t="s">
        <v>69</v>
      </c>
      <c r="Q77" s="53" t="str">
        <f>[1]Introduction_données!G323</f>
        <v>2 *FAA320CX8 / Réf 300400A</v>
      </c>
      <c r="U77" s="30"/>
    </row>
    <row r="78" spans="1:21" ht="14.1" customHeight="1" x14ac:dyDescent="0.25">
      <c r="A78" s="29" t="s">
        <v>70</v>
      </c>
      <c r="G78" s="158"/>
      <c r="M78" s="156" t="s">
        <v>71</v>
      </c>
      <c r="Q78" s="53" t="str">
        <f>[1]Introduction_données!G279</f>
        <v>F.A23400W (F.A23400AA)</v>
      </c>
      <c r="U78" s="30"/>
    </row>
    <row r="79" spans="1:21" ht="14.1" customHeight="1" x14ac:dyDescent="0.25">
      <c r="A79" s="29"/>
      <c r="M79" s="156" t="s">
        <v>72</v>
      </c>
      <c r="Q79" s="53" t="str">
        <f>[1]Introduction_données!G303</f>
        <v>FAA102XR999 / Ref. 27602B</v>
      </c>
      <c r="U79" s="30"/>
    </row>
    <row r="80" spans="1:21" ht="14.1" customHeight="1" x14ac:dyDescent="0.25">
      <c r="A80" s="29" t="s">
        <v>73</v>
      </c>
      <c r="G80" s="250"/>
      <c r="H80" s="250"/>
      <c r="K80" s="156" t="s">
        <v>74</v>
      </c>
      <c r="Q80" s="56"/>
      <c r="U80" s="57"/>
    </row>
    <row r="81" spans="1:21" ht="14.1" customHeight="1" x14ac:dyDescent="0.25">
      <c r="A81" s="29"/>
      <c r="J81" s="156" t="s">
        <v>74</v>
      </c>
      <c r="M81" s="156" t="s">
        <v>75</v>
      </c>
      <c r="Q81" s="25">
        <f>[1]Introduction_données!G228</f>
        <v>2</v>
      </c>
      <c r="R81" s="58" t="s">
        <v>76</v>
      </c>
      <c r="S81" s="25" t="e">
        <f>[1]Introduction_données!#REF!</f>
        <v>#REF!</v>
      </c>
      <c r="U81" s="30"/>
    </row>
    <row r="82" spans="1:21" ht="14.1" customHeight="1" x14ac:dyDescent="0.25">
      <c r="A82" s="29" t="s">
        <v>77</v>
      </c>
      <c r="G82" s="163"/>
      <c r="H82" s="163"/>
      <c r="L82" s="156" t="s">
        <v>74</v>
      </c>
      <c r="M82" s="156" t="s">
        <v>78</v>
      </c>
      <c r="Q82" s="25" t="str">
        <f>[1]Introduction_données!G262</f>
        <v>T82A_T</v>
      </c>
      <c r="R82" s="58" t="s">
        <v>76</v>
      </c>
      <c r="S82" s="25" t="str">
        <f>[1]Introduction_données!G266</f>
        <v>T82A_T</v>
      </c>
      <c r="U82" s="30"/>
    </row>
    <row r="83" spans="1:21" ht="14.1" customHeight="1" thickBot="1" x14ac:dyDescent="0.3">
      <c r="A83" s="20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5"/>
    </row>
    <row r="84" spans="1:21" ht="14.1" customHeight="1" x14ac:dyDescent="0.25">
      <c r="A84" s="216" t="s">
        <v>8</v>
      </c>
      <c r="B84" s="217"/>
      <c r="C84" s="218"/>
      <c r="D84" s="251" t="s">
        <v>9</v>
      </c>
      <c r="E84" s="252"/>
      <c r="F84" s="252"/>
      <c r="G84" s="252"/>
      <c r="H84" s="253"/>
      <c r="I84" s="216" t="s">
        <v>10</v>
      </c>
      <c r="J84" s="218"/>
      <c r="K84" s="216" t="s">
        <v>11</v>
      </c>
      <c r="L84" s="217"/>
      <c r="M84" s="218"/>
      <c r="N84" s="216" t="s">
        <v>12</v>
      </c>
      <c r="O84" s="218"/>
      <c r="P84" s="217" t="s">
        <v>13</v>
      </c>
      <c r="Q84" s="217"/>
      <c r="R84" s="218"/>
      <c r="S84" s="142"/>
      <c r="T84" s="142" t="s">
        <v>14</v>
      </c>
      <c r="U84" s="143"/>
    </row>
    <row r="85" spans="1:21" ht="14.1" customHeight="1" x14ac:dyDescent="0.25">
      <c r="A85" s="222" t="s">
        <v>15</v>
      </c>
      <c r="B85" s="223"/>
      <c r="C85" s="224"/>
      <c r="D85" s="244"/>
      <c r="E85" s="245"/>
      <c r="F85" s="245"/>
      <c r="G85" s="245"/>
      <c r="H85" s="246"/>
      <c r="I85" s="29" t="s">
        <v>16</v>
      </c>
      <c r="J85" s="157"/>
      <c r="K85" s="225"/>
      <c r="L85" s="223"/>
      <c r="M85" s="224"/>
      <c r="N85" s="225" t="s">
        <v>17</v>
      </c>
      <c r="O85" s="224"/>
      <c r="P85" s="225"/>
      <c r="Q85" s="223"/>
      <c r="R85" s="224"/>
      <c r="S85" s="225"/>
      <c r="T85" s="223"/>
      <c r="U85" s="224"/>
    </row>
    <row r="86" spans="1:21" x14ac:dyDescent="0.25">
      <c r="A86" s="241" t="s">
        <v>18</v>
      </c>
      <c r="B86" s="242"/>
      <c r="C86" s="243"/>
      <c r="D86" s="244"/>
      <c r="E86" s="245"/>
      <c r="F86" s="245"/>
      <c r="G86" s="245"/>
      <c r="H86" s="246"/>
      <c r="I86" s="225"/>
      <c r="J86" s="224"/>
      <c r="K86" s="225"/>
      <c r="L86" s="223"/>
      <c r="M86" s="224"/>
      <c r="N86" s="225"/>
      <c r="O86" s="224"/>
      <c r="P86" s="225"/>
      <c r="Q86" s="223"/>
      <c r="R86" s="224"/>
      <c r="S86" s="225"/>
      <c r="T86" s="223"/>
      <c r="U86" s="224"/>
    </row>
    <row r="87" spans="1:21" ht="14.1" customHeight="1" x14ac:dyDescent="0.25">
      <c r="A87" s="232" t="s">
        <v>19</v>
      </c>
      <c r="B87" s="233"/>
      <c r="C87" s="234"/>
      <c r="D87" s="235"/>
      <c r="E87" s="236"/>
      <c r="F87" s="236"/>
      <c r="G87" s="236"/>
      <c r="H87" s="237"/>
      <c r="I87" s="156" t="s">
        <v>20</v>
      </c>
      <c r="K87" s="238"/>
      <c r="L87" s="239"/>
      <c r="M87" s="240"/>
      <c r="N87" s="238"/>
      <c r="O87" s="240"/>
      <c r="P87" s="238"/>
      <c r="Q87" s="239"/>
      <c r="R87" s="240"/>
      <c r="S87" s="238" t="s">
        <v>21</v>
      </c>
      <c r="T87" s="239"/>
      <c r="U87" s="240"/>
    </row>
    <row r="88" spans="1:21" ht="15.9" customHeight="1" x14ac:dyDescent="0.25">
      <c r="A88" s="229"/>
      <c r="B88" s="229"/>
      <c r="C88" s="229"/>
      <c r="D88" s="230"/>
      <c r="E88" s="230"/>
      <c r="F88" s="230"/>
      <c r="G88" s="230"/>
      <c r="H88" s="230"/>
      <c r="I88" s="30"/>
      <c r="J88" s="30"/>
      <c r="K88" s="231"/>
      <c r="L88" s="231"/>
      <c r="M88" s="231"/>
      <c r="N88" s="231"/>
      <c r="O88" s="231"/>
      <c r="P88" s="231"/>
      <c r="Q88" s="231"/>
      <c r="R88" s="231"/>
      <c r="S88" s="231"/>
      <c r="T88" s="231"/>
      <c r="U88" s="231"/>
    </row>
    <row r="89" spans="1:21" ht="15.9" customHeight="1" x14ac:dyDescent="0.25">
      <c r="A89" s="229"/>
      <c r="B89" s="229"/>
      <c r="C89" s="229"/>
      <c r="D89" s="230"/>
      <c r="E89" s="230"/>
      <c r="F89" s="230"/>
      <c r="G89" s="230"/>
      <c r="H89" s="230"/>
      <c r="I89" s="30"/>
      <c r="J89" s="30"/>
      <c r="K89" s="231"/>
      <c r="L89" s="231"/>
      <c r="M89" s="231"/>
      <c r="N89" s="231"/>
      <c r="O89" s="231"/>
      <c r="P89" s="231"/>
      <c r="Q89" s="231"/>
      <c r="R89" s="231"/>
      <c r="S89" s="231"/>
      <c r="T89" s="231"/>
      <c r="U89" s="231"/>
    </row>
    <row r="90" spans="1:21" ht="15.9" customHeight="1" x14ac:dyDescent="0.25">
      <c r="A90" s="229"/>
      <c r="B90" s="229"/>
      <c r="C90" s="229"/>
      <c r="D90" s="230"/>
      <c r="E90" s="230"/>
      <c r="F90" s="230"/>
      <c r="G90" s="230"/>
      <c r="H90" s="230"/>
      <c r="I90" s="30"/>
      <c r="J90" s="30"/>
      <c r="K90" s="231"/>
      <c r="L90" s="231"/>
      <c r="M90" s="231"/>
      <c r="N90" s="231"/>
      <c r="O90" s="231"/>
      <c r="P90" s="231"/>
      <c r="Q90" s="231"/>
      <c r="R90" s="231"/>
      <c r="S90" s="231"/>
      <c r="T90" s="231"/>
      <c r="U90" s="231"/>
    </row>
    <row r="91" spans="1:21" ht="15.9" customHeight="1" x14ac:dyDescent="0.25">
      <c r="A91" s="229"/>
      <c r="B91" s="229"/>
      <c r="C91" s="229"/>
      <c r="D91" s="230"/>
      <c r="E91" s="230"/>
      <c r="F91" s="230"/>
      <c r="G91" s="230"/>
      <c r="H91" s="230"/>
      <c r="I91" s="30"/>
      <c r="J91" s="30"/>
      <c r="K91" s="231"/>
      <c r="L91" s="231"/>
      <c r="M91" s="231"/>
      <c r="N91" s="231"/>
      <c r="O91" s="231"/>
      <c r="P91" s="231"/>
      <c r="Q91" s="231"/>
      <c r="R91" s="231"/>
      <c r="S91" s="231"/>
      <c r="T91" s="231"/>
      <c r="U91" s="231"/>
    </row>
    <row r="92" spans="1:21" ht="15.9" customHeight="1" x14ac:dyDescent="0.25">
      <c r="A92" s="229"/>
      <c r="B92" s="229"/>
      <c r="C92" s="229"/>
      <c r="D92" s="230"/>
      <c r="E92" s="230"/>
      <c r="F92" s="230"/>
      <c r="G92" s="230"/>
      <c r="H92" s="230"/>
      <c r="I92" s="30"/>
      <c r="J92" s="30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</row>
    <row r="93" spans="1:21" ht="15.9" customHeight="1" x14ac:dyDescent="0.25">
      <c r="A93" s="229"/>
      <c r="B93" s="229"/>
      <c r="C93" s="229"/>
      <c r="D93" s="230"/>
      <c r="E93" s="230"/>
      <c r="F93" s="230"/>
      <c r="G93" s="230"/>
      <c r="H93" s="230"/>
      <c r="I93" s="30"/>
      <c r="J93" s="30"/>
      <c r="K93" s="231"/>
      <c r="L93" s="231"/>
      <c r="M93" s="231"/>
      <c r="N93" s="231"/>
      <c r="O93" s="231"/>
      <c r="P93" s="231"/>
      <c r="Q93" s="231"/>
      <c r="R93" s="231"/>
      <c r="S93" s="231"/>
      <c r="T93" s="231"/>
      <c r="U93" s="231"/>
    </row>
    <row r="94" spans="1:21" ht="15.9" customHeight="1" x14ac:dyDescent="0.25">
      <c r="A94" s="229"/>
      <c r="B94" s="229"/>
      <c r="C94" s="229"/>
      <c r="D94" s="230"/>
      <c r="E94" s="230"/>
      <c r="F94" s="230"/>
      <c r="G94" s="230"/>
      <c r="H94" s="230"/>
      <c r="I94" s="30"/>
      <c r="J94" s="30"/>
      <c r="K94" s="231"/>
      <c r="L94" s="231"/>
      <c r="M94" s="231"/>
      <c r="N94" s="231"/>
      <c r="O94" s="231"/>
      <c r="P94" s="231"/>
      <c r="Q94" s="231"/>
      <c r="R94" s="231"/>
      <c r="S94" s="231"/>
      <c r="T94" s="231"/>
      <c r="U94" s="231"/>
    </row>
    <row r="95" spans="1:21" ht="15.9" customHeight="1" x14ac:dyDescent="0.25">
      <c r="A95" s="229"/>
      <c r="B95" s="229"/>
      <c r="C95" s="229"/>
      <c r="D95" s="230"/>
      <c r="E95" s="230"/>
      <c r="F95" s="230"/>
      <c r="G95" s="230"/>
      <c r="H95" s="230"/>
      <c r="I95" s="30"/>
      <c r="J95" s="30"/>
      <c r="K95" s="231"/>
      <c r="L95" s="231"/>
      <c r="M95" s="231"/>
      <c r="N95" s="231"/>
      <c r="O95" s="231"/>
      <c r="P95" s="231"/>
      <c r="Q95" s="231"/>
      <c r="R95" s="231"/>
      <c r="S95" s="231"/>
      <c r="T95" s="231"/>
      <c r="U95" s="231"/>
    </row>
    <row r="96" spans="1:21" ht="15.9" customHeight="1" x14ac:dyDescent="0.25">
      <c r="A96" s="229"/>
      <c r="B96" s="229"/>
      <c r="C96" s="229"/>
      <c r="D96" s="230"/>
      <c r="E96" s="230"/>
      <c r="F96" s="230"/>
      <c r="G96" s="230"/>
      <c r="H96" s="230"/>
      <c r="I96" s="30"/>
      <c r="J96" s="30"/>
      <c r="K96" s="231"/>
      <c r="L96" s="231"/>
      <c r="M96" s="231"/>
      <c r="N96" s="231"/>
      <c r="O96" s="231"/>
      <c r="P96" s="231"/>
      <c r="Q96" s="231"/>
      <c r="R96" s="231"/>
      <c r="S96" s="231"/>
      <c r="T96" s="231"/>
      <c r="U96" s="231"/>
    </row>
    <row r="97" spans="1:21" ht="15.9" customHeight="1" x14ac:dyDescent="0.25">
      <c r="A97" s="229"/>
      <c r="B97" s="229"/>
      <c r="C97" s="229"/>
      <c r="D97" s="230"/>
      <c r="E97" s="230"/>
      <c r="F97" s="230"/>
      <c r="G97" s="230"/>
      <c r="H97" s="230"/>
      <c r="I97" s="30"/>
      <c r="J97" s="30"/>
      <c r="K97" s="231"/>
      <c r="L97" s="231"/>
      <c r="M97" s="231"/>
      <c r="N97" s="231"/>
      <c r="O97" s="231"/>
      <c r="P97" s="231"/>
      <c r="Q97" s="231"/>
      <c r="R97" s="231"/>
      <c r="S97" s="231"/>
      <c r="T97" s="231"/>
      <c r="U97" s="231"/>
    </row>
    <row r="98" spans="1:21" ht="15.9" customHeight="1" x14ac:dyDescent="0.25">
      <c r="A98" s="229"/>
      <c r="B98" s="229"/>
      <c r="C98" s="229"/>
      <c r="D98" s="230"/>
      <c r="E98" s="230"/>
      <c r="F98" s="230"/>
      <c r="G98" s="230"/>
      <c r="H98" s="230"/>
      <c r="I98" s="30"/>
      <c r="J98" s="30"/>
      <c r="K98" s="231"/>
      <c r="L98" s="231"/>
      <c r="M98" s="231"/>
      <c r="N98" s="231"/>
      <c r="O98" s="231"/>
      <c r="P98" s="231"/>
      <c r="Q98" s="231"/>
      <c r="R98" s="231"/>
      <c r="S98" s="231"/>
      <c r="T98" s="231"/>
      <c r="U98" s="231"/>
    </row>
    <row r="99" spans="1:21" ht="15.9" customHeight="1" x14ac:dyDescent="0.25">
      <c r="A99" s="229"/>
      <c r="B99" s="229"/>
      <c r="C99" s="229"/>
      <c r="D99" s="230"/>
      <c r="E99" s="230"/>
      <c r="F99" s="230"/>
      <c r="G99" s="230"/>
      <c r="H99" s="230"/>
      <c r="I99" s="30"/>
      <c r="J99" s="30"/>
      <c r="K99" s="231"/>
      <c r="L99" s="231"/>
      <c r="M99" s="231"/>
      <c r="N99" s="231"/>
      <c r="O99" s="231"/>
      <c r="P99" s="231"/>
      <c r="Q99" s="231"/>
      <c r="R99" s="231"/>
      <c r="S99" s="231"/>
      <c r="T99" s="231"/>
      <c r="U99" s="231"/>
    </row>
    <row r="100" spans="1:21" ht="15.9" customHeight="1" x14ac:dyDescent="0.25">
      <c r="A100" s="229"/>
      <c r="B100" s="229"/>
      <c r="C100" s="229"/>
      <c r="D100" s="230"/>
      <c r="E100" s="230"/>
      <c r="F100" s="230"/>
      <c r="G100" s="230"/>
      <c r="H100" s="230"/>
      <c r="I100" s="30"/>
      <c r="J100" s="30"/>
      <c r="K100" s="231"/>
      <c r="L100" s="231"/>
      <c r="M100" s="231"/>
      <c r="N100" s="231"/>
      <c r="O100" s="231"/>
      <c r="P100" s="231"/>
      <c r="Q100" s="231"/>
      <c r="R100" s="231"/>
      <c r="S100" s="231"/>
      <c r="T100" s="231"/>
      <c r="U100" s="231"/>
    </row>
    <row r="101" spans="1:21" ht="15.9" customHeight="1" x14ac:dyDescent="0.25">
      <c r="A101" s="229"/>
      <c r="B101" s="229"/>
      <c r="C101" s="229"/>
      <c r="D101" s="230"/>
      <c r="E101" s="230"/>
      <c r="F101" s="230"/>
      <c r="G101" s="230"/>
      <c r="H101" s="230"/>
      <c r="I101" s="30"/>
      <c r="J101" s="30"/>
      <c r="K101" s="231"/>
      <c r="L101" s="231"/>
      <c r="M101" s="231"/>
      <c r="N101" s="231"/>
      <c r="O101" s="231"/>
      <c r="P101" s="231"/>
      <c r="Q101" s="231"/>
      <c r="R101" s="231"/>
      <c r="S101" s="231"/>
      <c r="T101" s="231"/>
      <c r="U101" s="231"/>
    </row>
    <row r="102" spans="1:21" ht="15.9" customHeight="1" thickBot="1" x14ac:dyDescent="0.3">
      <c r="A102" s="226"/>
      <c r="B102" s="226"/>
      <c r="C102" s="226"/>
      <c r="D102" s="227"/>
      <c r="E102" s="227"/>
      <c r="F102" s="227"/>
      <c r="G102" s="227"/>
      <c r="H102" s="227"/>
      <c r="I102" s="31"/>
      <c r="J102" s="31"/>
      <c r="K102" s="228"/>
      <c r="L102" s="228"/>
      <c r="M102" s="228"/>
      <c r="N102" s="228"/>
      <c r="O102" s="228"/>
      <c r="P102" s="228"/>
      <c r="Q102" s="228"/>
      <c r="R102" s="228"/>
      <c r="S102" s="228"/>
      <c r="T102" s="228"/>
      <c r="U102" s="228"/>
    </row>
    <row r="103" spans="1:21" ht="9.9" customHeight="1" x14ac:dyDescent="0.25">
      <c r="A103" s="29"/>
      <c r="U103" s="157"/>
    </row>
    <row r="104" spans="1:21" ht="15.6" x14ac:dyDescent="0.3">
      <c r="A104" s="46" t="s">
        <v>35</v>
      </c>
      <c r="U104" s="157"/>
    </row>
    <row r="105" spans="1:21" ht="9.9" customHeight="1" thickBot="1" x14ac:dyDescent="0.3">
      <c r="A105" s="29"/>
      <c r="U105" s="157"/>
    </row>
    <row r="106" spans="1:21" ht="14.1" customHeight="1" x14ac:dyDescent="0.25">
      <c r="A106" s="216" t="s">
        <v>8</v>
      </c>
      <c r="B106" s="217"/>
      <c r="C106" s="218"/>
      <c r="D106" s="219" t="s">
        <v>9</v>
      </c>
      <c r="E106" s="220"/>
      <c r="F106" s="220"/>
      <c r="G106" s="220"/>
      <c r="H106" s="220"/>
      <c r="I106" s="220"/>
      <c r="J106" s="220"/>
      <c r="K106" s="220"/>
      <c r="L106" s="221"/>
      <c r="M106" s="216" t="s">
        <v>11</v>
      </c>
      <c r="N106" s="217"/>
      <c r="O106" s="218"/>
      <c r="P106" s="217" t="s">
        <v>36</v>
      </c>
      <c r="Q106" s="217"/>
      <c r="R106" s="218"/>
      <c r="S106" s="217" t="s">
        <v>37</v>
      </c>
      <c r="T106" s="217"/>
      <c r="U106" s="218"/>
    </row>
    <row r="107" spans="1:21" ht="14.1" customHeight="1" x14ac:dyDescent="0.25">
      <c r="A107" s="222" t="s">
        <v>38</v>
      </c>
      <c r="B107" s="223"/>
      <c r="C107" s="224"/>
      <c r="D107" s="225"/>
      <c r="E107" s="223"/>
      <c r="F107" s="223"/>
      <c r="G107" s="223"/>
      <c r="H107" s="223"/>
      <c r="I107" s="223"/>
      <c r="J107" s="223"/>
      <c r="K107" s="223"/>
      <c r="L107" s="224"/>
      <c r="M107" s="225"/>
      <c r="N107" s="223"/>
      <c r="O107" s="224"/>
      <c r="P107" s="225"/>
      <c r="Q107" s="223"/>
      <c r="R107" s="224"/>
      <c r="S107" s="225" t="s">
        <v>21</v>
      </c>
      <c r="T107" s="223"/>
      <c r="U107" s="224"/>
    </row>
    <row r="108" spans="1:21" ht="15.9" customHeight="1" x14ac:dyDescent="0.25">
      <c r="A108" s="213"/>
      <c r="B108" s="214"/>
      <c r="C108" s="215"/>
      <c r="D108" s="213"/>
      <c r="E108" s="214"/>
      <c r="F108" s="214"/>
      <c r="G108" s="214"/>
      <c r="H108" s="214"/>
      <c r="I108" s="214"/>
      <c r="J108" s="214"/>
      <c r="K108" s="214"/>
      <c r="L108" s="215"/>
      <c r="M108" s="213"/>
      <c r="N108" s="214"/>
      <c r="O108" s="215"/>
      <c r="P108" s="213"/>
      <c r="Q108" s="214"/>
      <c r="R108" s="215"/>
      <c r="S108" s="213"/>
      <c r="T108" s="214"/>
      <c r="U108" s="215"/>
    </row>
    <row r="109" spans="1:21" ht="15.9" customHeight="1" x14ac:dyDescent="0.25">
      <c r="A109" s="213"/>
      <c r="B109" s="214"/>
      <c r="C109" s="215"/>
      <c r="D109" s="213"/>
      <c r="E109" s="214"/>
      <c r="F109" s="214"/>
      <c r="G109" s="214"/>
      <c r="H109" s="214"/>
      <c r="I109" s="214"/>
      <c r="J109" s="214"/>
      <c r="K109" s="214"/>
      <c r="L109" s="215"/>
      <c r="M109" s="213"/>
      <c r="N109" s="214"/>
      <c r="O109" s="215"/>
      <c r="P109" s="213"/>
      <c r="Q109" s="214"/>
      <c r="R109" s="215"/>
      <c r="S109" s="213"/>
      <c r="T109" s="214"/>
      <c r="U109" s="215"/>
    </row>
    <row r="110" spans="1:21" ht="15.9" customHeight="1" x14ac:dyDescent="0.25">
      <c r="A110" s="213"/>
      <c r="B110" s="214"/>
      <c r="C110" s="215"/>
      <c r="D110" s="213"/>
      <c r="E110" s="214"/>
      <c r="F110" s="214"/>
      <c r="G110" s="214"/>
      <c r="H110" s="214"/>
      <c r="I110" s="214"/>
      <c r="J110" s="214"/>
      <c r="K110" s="214"/>
      <c r="L110" s="215"/>
      <c r="M110" s="213"/>
      <c r="N110" s="214"/>
      <c r="O110" s="215"/>
      <c r="P110" s="213"/>
      <c r="Q110" s="214"/>
      <c r="R110" s="215"/>
      <c r="S110" s="213"/>
      <c r="T110" s="214"/>
      <c r="U110" s="215"/>
    </row>
    <row r="111" spans="1:21" ht="15.9" customHeight="1" x14ac:dyDescent="0.25">
      <c r="A111" s="213"/>
      <c r="B111" s="214"/>
      <c r="C111" s="215"/>
      <c r="D111" s="213"/>
      <c r="E111" s="214"/>
      <c r="F111" s="214"/>
      <c r="G111" s="214"/>
      <c r="H111" s="214"/>
      <c r="I111" s="214"/>
      <c r="J111" s="214"/>
      <c r="K111" s="214"/>
      <c r="L111" s="215"/>
      <c r="M111" s="213"/>
      <c r="N111" s="214"/>
      <c r="O111" s="215"/>
      <c r="P111" s="213"/>
      <c r="Q111" s="214"/>
      <c r="R111" s="215"/>
      <c r="S111" s="213"/>
      <c r="T111" s="214"/>
      <c r="U111" s="215"/>
    </row>
    <row r="112" spans="1:21" ht="15.9" customHeight="1" x14ac:dyDescent="0.25">
      <c r="A112" s="213"/>
      <c r="B112" s="214"/>
      <c r="C112" s="215"/>
      <c r="D112" s="213"/>
      <c r="E112" s="214"/>
      <c r="F112" s="214"/>
      <c r="G112" s="214"/>
      <c r="H112" s="214"/>
      <c r="I112" s="214"/>
      <c r="J112" s="214"/>
      <c r="K112" s="214"/>
      <c r="L112" s="215"/>
      <c r="M112" s="213"/>
      <c r="N112" s="214"/>
      <c r="O112" s="215"/>
      <c r="P112" s="213"/>
      <c r="Q112" s="214"/>
      <c r="R112" s="215"/>
      <c r="S112" s="213"/>
      <c r="T112" s="214"/>
      <c r="U112" s="215"/>
    </row>
    <row r="113" spans="1:21" ht="15.9" customHeight="1" x14ac:dyDescent="0.25">
      <c r="A113" s="213"/>
      <c r="B113" s="214"/>
      <c r="C113" s="215"/>
      <c r="D113" s="213"/>
      <c r="E113" s="214"/>
      <c r="F113" s="214"/>
      <c r="G113" s="214"/>
      <c r="H113" s="214"/>
      <c r="I113" s="214"/>
      <c r="J113" s="214"/>
      <c r="K113" s="214"/>
      <c r="L113" s="215"/>
      <c r="M113" s="213"/>
      <c r="N113" s="214"/>
      <c r="O113" s="215"/>
      <c r="P113" s="213"/>
      <c r="Q113" s="214"/>
      <c r="R113" s="215"/>
      <c r="S113" s="213"/>
      <c r="T113" s="214"/>
      <c r="U113" s="215"/>
    </row>
    <row r="114" spans="1:21" ht="15.9" customHeight="1" x14ac:dyDescent="0.25">
      <c r="A114" s="213"/>
      <c r="B114" s="214"/>
      <c r="C114" s="215"/>
      <c r="D114" s="213"/>
      <c r="E114" s="214"/>
      <c r="F114" s="214"/>
      <c r="G114" s="214"/>
      <c r="H114" s="214"/>
      <c r="I114" s="214"/>
      <c r="J114" s="214"/>
      <c r="K114" s="214"/>
      <c r="L114" s="215"/>
      <c r="M114" s="213"/>
      <c r="N114" s="214"/>
      <c r="O114" s="215"/>
      <c r="P114" s="213"/>
      <c r="Q114" s="214"/>
      <c r="R114" s="215"/>
      <c r="S114" s="213"/>
      <c r="T114" s="214"/>
      <c r="U114" s="215"/>
    </row>
    <row r="115" spans="1:21" ht="15.9" customHeight="1" x14ac:dyDescent="0.25">
      <c r="A115" s="213"/>
      <c r="B115" s="214"/>
      <c r="C115" s="215"/>
      <c r="D115" s="213"/>
      <c r="E115" s="214"/>
      <c r="F115" s="214"/>
      <c r="G115" s="214"/>
      <c r="H115" s="214"/>
      <c r="I115" s="214"/>
      <c r="J115" s="214"/>
      <c r="K115" s="214"/>
      <c r="L115" s="215"/>
      <c r="M115" s="213"/>
      <c r="N115" s="214"/>
      <c r="O115" s="215"/>
      <c r="P115" s="213"/>
      <c r="Q115" s="214"/>
      <c r="R115" s="215"/>
      <c r="S115" s="213"/>
      <c r="T115" s="214"/>
      <c r="U115" s="215"/>
    </row>
    <row r="116" spans="1:21" ht="15.9" customHeight="1" x14ac:dyDescent="0.25">
      <c r="A116" s="213"/>
      <c r="B116" s="214"/>
      <c r="C116" s="215"/>
      <c r="D116" s="213"/>
      <c r="E116" s="214"/>
      <c r="F116" s="214"/>
      <c r="G116" s="214"/>
      <c r="H116" s="214"/>
      <c r="I116" s="214"/>
      <c r="J116" s="214"/>
      <c r="K116" s="214"/>
      <c r="L116" s="215"/>
      <c r="M116" s="213"/>
      <c r="N116" s="214"/>
      <c r="O116" s="215"/>
      <c r="P116" s="213"/>
      <c r="Q116" s="214"/>
      <c r="R116" s="215"/>
      <c r="S116" s="213"/>
      <c r="T116" s="214"/>
      <c r="U116" s="215"/>
    </row>
    <row r="117" spans="1:21" ht="15.9" customHeight="1" x14ac:dyDescent="0.25">
      <c r="A117" s="213"/>
      <c r="B117" s="214"/>
      <c r="C117" s="215"/>
      <c r="D117" s="213"/>
      <c r="E117" s="214"/>
      <c r="F117" s="214"/>
      <c r="G117" s="214"/>
      <c r="H117" s="214"/>
      <c r="I117" s="214"/>
      <c r="J117" s="214"/>
      <c r="K117" s="214"/>
      <c r="L117" s="215"/>
      <c r="M117" s="213"/>
      <c r="N117" s="214"/>
      <c r="O117" s="215"/>
      <c r="P117" s="213"/>
      <c r="Q117" s="214"/>
      <c r="R117" s="215"/>
      <c r="S117" s="213"/>
      <c r="T117" s="214"/>
      <c r="U117" s="215"/>
    </row>
    <row r="118" spans="1:21" ht="15.9" customHeight="1" x14ac:dyDescent="0.25">
      <c r="A118" s="213"/>
      <c r="B118" s="214"/>
      <c r="C118" s="215"/>
      <c r="D118" s="213"/>
      <c r="E118" s="214"/>
      <c r="F118" s="214"/>
      <c r="G118" s="214"/>
      <c r="H118" s="214"/>
      <c r="I118" s="214"/>
      <c r="J118" s="214"/>
      <c r="K118" s="214"/>
      <c r="L118" s="215"/>
      <c r="M118" s="213"/>
      <c r="N118" s="214"/>
      <c r="O118" s="215"/>
      <c r="P118" s="213"/>
      <c r="Q118" s="214"/>
      <c r="R118" s="215"/>
      <c r="S118" s="213"/>
      <c r="T118" s="214"/>
      <c r="U118" s="215"/>
    </row>
    <row r="119" spans="1:21" ht="15.9" customHeight="1" x14ac:dyDescent="0.25">
      <c r="A119" s="213"/>
      <c r="B119" s="214"/>
      <c r="C119" s="215"/>
      <c r="D119" s="213"/>
      <c r="E119" s="214"/>
      <c r="F119" s="214"/>
      <c r="G119" s="214"/>
      <c r="H119" s="214"/>
      <c r="I119" s="214"/>
      <c r="J119" s="214"/>
      <c r="K119" s="214"/>
      <c r="L119" s="215"/>
      <c r="M119" s="213"/>
      <c r="N119" s="214"/>
      <c r="O119" s="215"/>
      <c r="P119" s="213"/>
      <c r="Q119" s="214"/>
      <c r="R119" s="215"/>
      <c r="S119" s="213"/>
      <c r="T119" s="214"/>
      <c r="U119" s="215"/>
    </row>
    <row r="120" spans="1:21" ht="15.9" customHeight="1" x14ac:dyDescent="0.25">
      <c r="A120" s="213"/>
      <c r="B120" s="214"/>
      <c r="C120" s="215"/>
      <c r="D120" s="213"/>
      <c r="E120" s="214"/>
      <c r="F120" s="214"/>
      <c r="G120" s="214"/>
      <c r="H120" s="214"/>
      <c r="I120" s="214"/>
      <c r="J120" s="214"/>
      <c r="K120" s="214"/>
      <c r="L120" s="215"/>
      <c r="M120" s="213"/>
      <c r="N120" s="214"/>
      <c r="O120" s="215"/>
      <c r="P120" s="213"/>
      <c r="Q120" s="214"/>
      <c r="R120" s="215"/>
      <c r="S120" s="213"/>
      <c r="T120" s="214"/>
      <c r="U120" s="215"/>
    </row>
    <row r="121" spans="1:21" ht="15.9" customHeight="1" x14ac:dyDescent="0.25">
      <c r="A121" s="213"/>
      <c r="B121" s="214"/>
      <c r="C121" s="215"/>
      <c r="D121" s="213"/>
      <c r="E121" s="214"/>
      <c r="F121" s="214"/>
      <c r="G121" s="214"/>
      <c r="H121" s="214"/>
      <c r="I121" s="214"/>
      <c r="J121" s="214"/>
      <c r="K121" s="214"/>
      <c r="L121" s="215"/>
      <c r="M121" s="213"/>
      <c r="N121" s="214"/>
      <c r="O121" s="215"/>
      <c r="P121" s="213"/>
      <c r="Q121" s="214"/>
      <c r="R121" s="215"/>
      <c r="S121" s="213"/>
      <c r="T121" s="214"/>
      <c r="U121" s="215"/>
    </row>
    <row r="122" spans="1:21" ht="15.9" customHeight="1" x14ac:dyDescent="0.25">
      <c r="A122" s="213"/>
      <c r="B122" s="214"/>
      <c r="C122" s="215"/>
      <c r="D122" s="213"/>
      <c r="E122" s="214"/>
      <c r="F122" s="214"/>
      <c r="G122" s="214"/>
      <c r="H122" s="214"/>
      <c r="I122" s="214"/>
      <c r="J122" s="214"/>
      <c r="K122" s="214"/>
      <c r="L122" s="215"/>
      <c r="M122" s="213"/>
      <c r="N122" s="214"/>
      <c r="O122" s="215"/>
      <c r="P122" s="213"/>
      <c r="Q122" s="214"/>
      <c r="R122" s="215"/>
      <c r="S122" s="213"/>
      <c r="T122" s="214"/>
      <c r="U122" s="215"/>
    </row>
    <row r="123" spans="1:21" ht="15.9" customHeight="1" x14ac:dyDescent="0.25">
      <c r="A123" s="213"/>
      <c r="B123" s="214"/>
      <c r="C123" s="215"/>
      <c r="D123" s="213"/>
      <c r="E123" s="214"/>
      <c r="F123" s="214"/>
      <c r="G123" s="214"/>
      <c r="H123" s="214"/>
      <c r="I123" s="214"/>
      <c r="J123" s="214"/>
      <c r="K123" s="214"/>
      <c r="L123" s="215"/>
      <c r="M123" s="213"/>
      <c r="N123" s="214"/>
      <c r="O123" s="215"/>
      <c r="P123" s="213"/>
      <c r="Q123" s="214"/>
      <c r="R123" s="215"/>
      <c r="S123" s="213"/>
      <c r="T123" s="214"/>
      <c r="U123" s="215"/>
    </row>
    <row r="124" spans="1:21" ht="15.9" customHeight="1" x14ac:dyDescent="0.25">
      <c r="A124" s="213"/>
      <c r="B124" s="214"/>
      <c r="C124" s="215"/>
      <c r="D124" s="213"/>
      <c r="E124" s="214"/>
      <c r="F124" s="214"/>
      <c r="G124" s="214"/>
      <c r="H124" s="214"/>
      <c r="I124" s="214"/>
      <c r="J124" s="214"/>
      <c r="K124" s="214"/>
      <c r="L124" s="215"/>
      <c r="M124" s="213"/>
      <c r="N124" s="214"/>
      <c r="O124" s="215"/>
      <c r="P124" s="213"/>
      <c r="Q124" s="214"/>
      <c r="R124" s="215"/>
      <c r="S124" s="213"/>
      <c r="T124" s="214"/>
      <c r="U124" s="215"/>
    </row>
    <row r="125" spans="1:21" s="65" customFormat="1" ht="22.5" customHeight="1" x14ac:dyDescent="0.3">
      <c r="A125" s="59" t="s">
        <v>79</v>
      </c>
      <c r="B125" s="60"/>
      <c r="C125" s="61"/>
      <c r="D125" s="62"/>
      <c r="E125" s="60"/>
      <c r="F125" s="63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4"/>
    </row>
    <row r="126" spans="1:21" s="65" customFormat="1" ht="15.6" x14ac:dyDescent="0.3">
      <c r="A126" s="66" t="s">
        <v>80</v>
      </c>
      <c r="B126" s="66" t="s">
        <v>81</v>
      </c>
      <c r="C126" s="67" t="s">
        <v>82</v>
      </c>
      <c r="D126" s="68"/>
      <c r="E126" s="69"/>
      <c r="F126" s="68" t="s">
        <v>83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/>
    </row>
    <row r="127" spans="1:21" s="65" customFormat="1" x14ac:dyDescent="0.25">
      <c r="A127" s="70"/>
      <c r="B127" s="71"/>
      <c r="C127" s="72"/>
      <c r="D127" s="72"/>
      <c r="E127" s="72"/>
      <c r="F127" s="150" t="s">
        <v>84</v>
      </c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5"/>
    </row>
    <row r="128" spans="1:21" s="65" customFormat="1" ht="15.6" x14ac:dyDescent="0.3">
      <c r="A128" s="73"/>
      <c r="B128" s="152"/>
      <c r="C128" s="153"/>
      <c r="D128" s="151" t="s">
        <v>85</v>
      </c>
      <c r="E128" s="152"/>
      <c r="F128" s="151" t="s">
        <v>86</v>
      </c>
      <c r="G128" s="74" t="s">
        <v>87</v>
      </c>
      <c r="H128" s="74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57"/>
    </row>
    <row r="129" spans="1:21" s="65" customFormat="1" ht="15.6" x14ac:dyDescent="0.3">
      <c r="A129" s="73"/>
      <c r="B129" s="152"/>
      <c r="C129" s="153"/>
      <c r="D129" s="151" t="s">
        <v>88</v>
      </c>
      <c r="E129" s="152"/>
      <c r="F129" s="151" t="s">
        <v>89</v>
      </c>
      <c r="G129" s="74" t="s">
        <v>90</v>
      </c>
      <c r="H129" s="74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57"/>
    </row>
    <row r="130" spans="1:21" s="65" customFormat="1" ht="15.6" x14ac:dyDescent="0.3">
      <c r="A130" s="73"/>
      <c r="B130" s="152"/>
      <c r="C130" s="153"/>
      <c r="D130" s="151" t="s">
        <v>91</v>
      </c>
      <c r="E130" s="152"/>
      <c r="F130" s="151" t="s">
        <v>92</v>
      </c>
      <c r="G130" s="74" t="s">
        <v>93</v>
      </c>
      <c r="H130" s="74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57"/>
    </row>
    <row r="131" spans="1:21" s="65" customFormat="1" ht="15.6" x14ac:dyDescent="0.3">
      <c r="A131" s="73"/>
      <c r="B131" s="152"/>
      <c r="C131" s="153"/>
      <c r="D131" s="76">
        <v>1.4</v>
      </c>
      <c r="E131" s="153"/>
      <c r="F131" s="151" t="s">
        <v>94</v>
      </c>
      <c r="G131" s="77" t="s">
        <v>95</v>
      </c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57"/>
    </row>
    <row r="132" spans="1:21" s="65" customFormat="1" ht="15.6" x14ac:dyDescent="0.3">
      <c r="A132" s="73"/>
      <c r="B132" s="152"/>
      <c r="C132" s="153"/>
      <c r="D132" s="151" t="s">
        <v>96</v>
      </c>
      <c r="E132" s="152"/>
      <c r="F132" s="151" t="s">
        <v>97</v>
      </c>
      <c r="G132" s="74" t="s">
        <v>98</v>
      </c>
      <c r="H132" s="74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57"/>
    </row>
    <row r="133" spans="1:21" s="65" customFormat="1" ht="15.6" x14ac:dyDescent="0.3">
      <c r="A133" s="73"/>
      <c r="B133" s="152"/>
      <c r="C133" s="153"/>
      <c r="D133" s="151" t="s">
        <v>99</v>
      </c>
      <c r="E133" s="152"/>
      <c r="F133" s="151" t="s">
        <v>100</v>
      </c>
      <c r="G133" s="74" t="s">
        <v>101</v>
      </c>
      <c r="H133" s="74"/>
      <c r="I133" s="75"/>
      <c r="J133" s="75"/>
      <c r="K133" s="75"/>
      <c r="L133" s="75"/>
      <c r="M133" s="75"/>
      <c r="N133" s="75"/>
      <c r="O133" s="75"/>
      <c r="Q133" s="75"/>
      <c r="R133" s="75"/>
      <c r="S133" s="75"/>
      <c r="T133" s="25">
        <f>IF([1]Introduction_données!G26="Madrid",1800,2100)</f>
        <v>2100</v>
      </c>
      <c r="U133" s="57" t="s">
        <v>102</v>
      </c>
    </row>
    <row r="134" spans="1:21" s="65" customFormat="1" ht="15.6" x14ac:dyDescent="0.3">
      <c r="A134" s="66"/>
      <c r="B134" s="78"/>
      <c r="C134" s="79"/>
      <c r="D134" s="80" t="s">
        <v>103</v>
      </c>
      <c r="E134" s="78"/>
      <c r="F134" s="80" t="s">
        <v>104</v>
      </c>
      <c r="G134" s="81" t="s">
        <v>105</v>
      </c>
      <c r="H134" s="8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7"/>
    </row>
    <row r="135" spans="1:21" s="65" customFormat="1" ht="15.6" x14ac:dyDescent="0.3">
      <c r="A135" s="82"/>
      <c r="B135" s="83"/>
      <c r="C135" s="149"/>
      <c r="D135" s="84"/>
      <c r="E135" s="83"/>
      <c r="F135" s="84"/>
      <c r="G135" s="85" t="s">
        <v>106</v>
      </c>
      <c r="H135" s="85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5"/>
    </row>
    <row r="136" spans="1:21" s="65" customFormat="1" ht="15.6" x14ac:dyDescent="0.3">
      <c r="A136" s="66"/>
      <c r="B136" s="78"/>
      <c r="C136" s="79"/>
      <c r="D136" s="86">
        <v>1.8</v>
      </c>
      <c r="E136" s="79"/>
      <c r="F136" s="80" t="s">
        <v>94</v>
      </c>
      <c r="G136" s="87" t="s">
        <v>107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7"/>
    </row>
    <row r="137" spans="1:21" s="65" customFormat="1" ht="15.6" x14ac:dyDescent="0.3">
      <c r="A137" s="82"/>
      <c r="B137" s="149"/>
      <c r="C137" s="83"/>
      <c r="D137" s="88"/>
      <c r="E137" s="149"/>
      <c r="F137" s="84"/>
      <c r="G137" s="89" t="s">
        <v>108</v>
      </c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5"/>
    </row>
    <row r="138" spans="1:21" s="65" customFormat="1" ht="220.5" customHeight="1" x14ac:dyDescent="0.3">
      <c r="A138" s="169"/>
      <c r="B138" s="170"/>
      <c r="C138" s="170"/>
      <c r="D138" s="170"/>
      <c r="E138" s="170"/>
      <c r="F138" s="170"/>
      <c r="G138" s="170"/>
      <c r="H138" s="170"/>
      <c r="I138" s="170"/>
      <c r="J138" s="170"/>
      <c r="K138" s="170"/>
      <c r="L138" s="170"/>
      <c r="M138" s="170"/>
      <c r="N138" s="170"/>
      <c r="O138" s="170"/>
      <c r="P138" s="170"/>
      <c r="Q138" s="170"/>
      <c r="R138" s="170"/>
      <c r="S138" s="170"/>
      <c r="T138" s="170"/>
      <c r="U138" s="171"/>
    </row>
    <row r="139" spans="1:21" s="65" customFormat="1" x14ac:dyDescent="0.3">
      <c r="A139" s="189"/>
      <c r="B139" s="190"/>
      <c r="C139" s="190"/>
      <c r="D139" s="190"/>
      <c r="E139" s="190"/>
      <c r="F139" s="190"/>
      <c r="G139" s="190"/>
      <c r="H139" s="190"/>
      <c r="I139" s="193" t="s">
        <v>109</v>
      </c>
      <c r="J139" s="194"/>
      <c r="K139" s="194"/>
      <c r="L139" s="195"/>
      <c r="M139" s="196" t="s">
        <v>110</v>
      </c>
      <c r="N139" s="197"/>
      <c r="O139" s="198"/>
      <c r="P139" s="196" t="s">
        <v>111</v>
      </c>
      <c r="Q139" s="197"/>
      <c r="R139" s="198"/>
      <c r="S139" s="90"/>
      <c r="T139" s="185" t="s">
        <v>112</v>
      </c>
      <c r="U139" s="186"/>
    </row>
    <row r="140" spans="1:21" s="65" customFormat="1" ht="12.75" customHeight="1" x14ac:dyDescent="0.3">
      <c r="A140" s="191"/>
      <c r="B140" s="192"/>
      <c r="C140" s="192"/>
      <c r="D140" s="192"/>
      <c r="E140" s="192"/>
      <c r="F140" s="192"/>
      <c r="G140" s="192"/>
      <c r="H140" s="192"/>
      <c r="I140" s="199" t="s">
        <v>113</v>
      </c>
      <c r="J140" s="200"/>
      <c r="K140" s="200"/>
      <c r="L140" s="201"/>
      <c r="M140" s="205" t="s">
        <v>114</v>
      </c>
      <c r="N140" s="206"/>
      <c r="O140" s="207"/>
      <c r="P140" s="205" t="s">
        <v>115</v>
      </c>
      <c r="Q140" s="206"/>
      <c r="R140" s="207"/>
      <c r="S140" s="91"/>
      <c r="T140" s="92"/>
      <c r="U140" s="93" t="s">
        <v>116</v>
      </c>
    </row>
    <row r="141" spans="1:21" s="65" customFormat="1" x14ac:dyDescent="0.3">
      <c r="A141" s="191"/>
      <c r="B141" s="192"/>
      <c r="C141" s="192"/>
      <c r="D141" s="192"/>
      <c r="E141" s="192"/>
      <c r="F141" s="192"/>
      <c r="G141" s="192"/>
      <c r="H141" s="192"/>
      <c r="I141" s="202"/>
      <c r="J141" s="203"/>
      <c r="K141" s="203"/>
      <c r="L141" s="204"/>
      <c r="M141" s="208"/>
      <c r="N141" s="209"/>
      <c r="O141" s="210"/>
      <c r="P141" s="208"/>
      <c r="Q141" s="209"/>
      <c r="R141" s="210"/>
      <c r="S141" s="94"/>
      <c r="T141" s="211" t="s">
        <v>117</v>
      </c>
      <c r="U141" s="212"/>
    </row>
    <row r="142" spans="1:21" s="65" customFormat="1" ht="12.75" customHeight="1" x14ac:dyDescent="0.25">
      <c r="A142" s="180" t="s">
        <v>118</v>
      </c>
      <c r="B142" s="181"/>
      <c r="C142" s="181"/>
      <c r="D142" s="181"/>
      <c r="E142" s="181"/>
      <c r="F142" s="181"/>
      <c r="G142" s="181"/>
      <c r="H142" s="181"/>
      <c r="I142" s="52"/>
      <c r="J142" s="6"/>
      <c r="K142" s="156"/>
      <c r="L142" s="7"/>
      <c r="M142" s="52"/>
      <c r="N142" s="6"/>
      <c r="O142" s="7"/>
      <c r="P142" s="52"/>
      <c r="Q142" s="6"/>
      <c r="R142" s="7"/>
      <c r="S142" s="95"/>
      <c r="T142" s="95"/>
      <c r="U142" s="96"/>
    </row>
    <row r="143" spans="1:21" s="65" customFormat="1" ht="13.8" thickBot="1" x14ac:dyDescent="0.3">
      <c r="A143" s="180"/>
      <c r="B143" s="181"/>
      <c r="C143" s="181"/>
      <c r="D143" s="181"/>
      <c r="E143" s="181"/>
      <c r="F143" s="181"/>
      <c r="G143" s="181"/>
      <c r="H143" s="181"/>
      <c r="I143" s="20"/>
      <c r="J143" s="154"/>
      <c r="K143" s="154"/>
      <c r="L143" s="155" t="s">
        <v>116</v>
      </c>
      <c r="M143" s="20"/>
      <c r="N143" s="154"/>
      <c r="O143" s="155" t="s">
        <v>116</v>
      </c>
      <c r="P143" s="20"/>
      <c r="Q143" s="154"/>
      <c r="R143" s="155" t="s">
        <v>116</v>
      </c>
      <c r="S143" s="97"/>
      <c r="T143" s="95"/>
      <c r="U143" s="96"/>
    </row>
    <row r="144" spans="1:21" s="65" customFormat="1" ht="12.75" customHeight="1" x14ac:dyDescent="0.25">
      <c r="A144" s="182" t="s">
        <v>119</v>
      </c>
      <c r="B144" s="183"/>
      <c r="C144" s="183"/>
      <c r="D144" s="183"/>
      <c r="E144" s="183"/>
      <c r="F144" s="184" t="s">
        <v>120</v>
      </c>
      <c r="G144" s="184"/>
      <c r="H144" s="184"/>
      <c r="I144" s="29"/>
      <c r="J144" s="156"/>
      <c r="K144" s="156"/>
      <c r="L144" s="157"/>
      <c r="M144" s="29"/>
      <c r="N144" s="156"/>
      <c r="O144" s="157"/>
      <c r="P144" s="29"/>
      <c r="Q144" s="156"/>
      <c r="R144" s="157"/>
      <c r="S144" s="166" t="s">
        <v>121</v>
      </c>
      <c r="T144" s="167"/>
      <c r="U144" s="168"/>
    </row>
    <row r="145" spans="1:21" s="65" customFormat="1" x14ac:dyDescent="0.25">
      <c r="A145" s="182"/>
      <c r="B145" s="183"/>
      <c r="C145" s="183"/>
      <c r="D145" s="183"/>
      <c r="E145" s="183"/>
      <c r="F145" s="184"/>
      <c r="G145" s="184"/>
      <c r="H145" s="184"/>
      <c r="I145" s="29"/>
      <c r="J145" s="156"/>
      <c r="K145" s="156"/>
      <c r="L145" s="157" t="s">
        <v>116</v>
      </c>
      <c r="M145" s="29"/>
      <c r="N145" s="156"/>
      <c r="O145" s="157" t="s">
        <v>116</v>
      </c>
      <c r="P145" s="29"/>
      <c r="Q145" s="156"/>
      <c r="R145" s="157" t="s">
        <v>116</v>
      </c>
      <c r="U145" s="99"/>
    </row>
    <row r="146" spans="1:21" s="65" customFormat="1" x14ac:dyDescent="0.25">
      <c r="A146" s="182"/>
      <c r="B146" s="183"/>
      <c r="C146" s="183"/>
      <c r="D146" s="183"/>
      <c r="E146" s="183"/>
      <c r="F146" s="184"/>
      <c r="G146" s="184"/>
      <c r="H146" s="184"/>
      <c r="I146" s="29"/>
      <c r="J146" s="156"/>
      <c r="K146" s="156"/>
      <c r="L146" s="157"/>
      <c r="M146" s="29"/>
      <c r="N146" s="156"/>
      <c r="O146" s="157"/>
      <c r="P146" s="29"/>
      <c r="Q146" s="156"/>
      <c r="R146" s="157"/>
      <c r="S146" s="100"/>
      <c r="T146" s="185" t="s">
        <v>122</v>
      </c>
      <c r="U146" s="186"/>
    </row>
    <row r="147" spans="1:21" s="65" customFormat="1" x14ac:dyDescent="0.25">
      <c r="A147" s="187" t="s">
        <v>123</v>
      </c>
      <c r="B147" s="188"/>
      <c r="C147" s="188"/>
      <c r="D147" s="188"/>
      <c r="E147" s="188"/>
      <c r="F147" s="188"/>
      <c r="G147" s="188"/>
      <c r="H147" s="188"/>
      <c r="I147" s="101"/>
      <c r="J147" s="75"/>
      <c r="K147" s="75"/>
      <c r="L147" s="57" t="s">
        <v>116</v>
      </c>
      <c r="M147" s="101"/>
      <c r="N147" s="75"/>
      <c r="O147" s="57" t="s">
        <v>116</v>
      </c>
      <c r="P147" s="101"/>
      <c r="Q147" s="75"/>
      <c r="R147" s="57" t="s">
        <v>116</v>
      </c>
      <c r="S147" s="102"/>
      <c r="T147" s="102"/>
      <c r="U147" s="93" t="s">
        <v>116</v>
      </c>
    </row>
    <row r="148" spans="1:21" s="65" customFormat="1" ht="13.8" thickBot="1" x14ac:dyDescent="0.3">
      <c r="A148" s="172" t="s">
        <v>124</v>
      </c>
      <c r="B148" s="173"/>
      <c r="C148" s="173"/>
      <c r="D148" s="173"/>
      <c r="E148" s="173"/>
      <c r="F148" s="173"/>
      <c r="G148" s="173"/>
      <c r="H148" s="173"/>
      <c r="I148" s="29"/>
      <c r="J148" s="156"/>
      <c r="K148" s="6"/>
      <c r="L148" s="157" t="s">
        <v>116</v>
      </c>
      <c r="M148" s="29"/>
      <c r="N148" s="156"/>
      <c r="O148" s="157" t="s">
        <v>116</v>
      </c>
      <c r="P148" s="29"/>
      <c r="Q148" s="156"/>
      <c r="R148" s="157" t="s">
        <v>116</v>
      </c>
      <c r="S148" s="97"/>
      <c r="T148" s="95"/>
      <c r="U148" s="96"/>
    </row>
    <row r="149" spans="1:21" s="65" customFormat="1" ht="13.8" thickBot="1" x14ac:dyDescent="0.3">
      <c r="A149" s="174" t="s">
        <v>125</v>
      </c>
      <c r="B149" s="175"/>
      <c r="C149" s="175"/>
      <c r="D149" s="175"/>
      <c r="E149" s="175"/>
      <c r="F149" s="175"/>
      <c r="G149" s="175"/>
      <c r="H149" s="175"/>
      <c r="I149" s="103"/>
      <c r="J149" s="104"/>
      <c r="K149" s="104"/>
      <c r="L149" s="105" t="s">
        <v>116</v>
      </c>
      <c r="M149" s="103"/>
      <c r="N149" s="104"/>
      <c r="O149" s="105" t="s">
        <v>116</v>
      </c>
      <c r="P149" s="103"/>
      <c r="Q149" s="104"/>
      <c r="R149" s="105" t="s">
        <v>116</v>
      </c>
      <c r="U149" s="106"/>
    </row>
    <row r="150" spans="1:21" s="65" customFormat="1" x14ac:dyDescent="0.3">
      <c r="A150" s="176" t="s">
        <v>126</v>
      </c>
      <c r="B150" s="177"/>
      <c r="C150" s="177"/>
      <c r="D150" s="177"/>
      <c r="E150" s="177"/>
      <c r="F150" s="177"/>
      <c r="G150" s="177"/>
      <c r="H150" s="177"/>
      <c r="I150" s="178">
        <f>500+35*[1]Introduction_données!G173*[1]Introduction_données!G173</f>
        <v>535</v>
      </c>
      <c r="J150" s="179"/>
      <c r="K150" s="179"/>
      <c r="L150" s="93" t="s">
        <v>116</v>
      </c>
      <c r="M150" s="178">
        <f>100+35*[1]Introduction_données!G173*[1]Introduction_données!G173</f>
        <v>135</v>
      </c>
      <c r="N150" s="179"/>
      <c r="O150" s="93" t="s">
        <v>116</v>
      </c>
      <c r="P150" s="178">
        <f>100+35*[1]Introduction_données!G173*[1]Introduction_données!G173</f>
        <v>135</v>
      </c>
      <c r="Q150" s="179"/>
      <c r="R150" s="93" t="s">
        <v>116</v>
      </c>
      <c r="S150" s="166" t="s">
        <v>121</v>
      </c>
      <c r="T150" s="167"/>
      <c r="U150" s="168"/>
    </row>
    <row r="151" spans="1:21" s="65" customFormat="1" ht="15.6" x14ac:dyDescent="0.3">
      <c r="A151" s="66"/>
      <c r="B151" s="78"/>
      <c r="C151" s="79"/>
      <c r="D151" s="80" t="s">
        <v>127</v>
      </c>
      <c r="E151" s="78"/>
      <c r="F151" s="80" t="s">
        <v>128</v>
      </c>
      <c r="G151" s="81" t="s">
        <v>129</v>
      </c>
      <c r="H151" s="8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7"/>
    </row>
    <row r="152" spans="1:21" s="65" customFormat="1" ht="15.6" x14ac:dyDescent="0.3">
      <c r="A152" s="82"/>
      <c r="B152" s="83"/>
      <c r="C152" s="149"/>
      <c r="D152" s="84"/>
      <c r="E152" s="83"/>
      <c r="F152" s="84"/>
      <c r="G152" s="85" t="s">
        <v>130</v>
      </c>
      <c r="H152" s="85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5"/>
    </row>
    <row r="153" spans="1:21" s="65" customFormat="1" ht="15.6" x14ac:dyDescent="0.3">
      <c r="A153" s="66"/>
      <c r="B153" s="78"/>
      <c r="C153" s="79"/>
      <c r="D153" s="80" t="s">
        <v>131</v>
      </c>
      <c r="E153" s="78"/>
      <c r="F153" s="80" t="s">
        <v>132</v>
      </c>
      <c r="G153" s="81" t="s">
        <v>133</v>
      </c>
      <c r="H153" s="8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7"/>
    </row>
    <row r="154" spans="1:21" s="65" customFormat="1" ht="15.6" x14ac:dyDescent="0.3">
      <c r="A154" s="107"/>
      <c r="B154" s="108"/>
      <c r="C154" s="144"/>
      <c r="D154" s="109"/>
      <c r="E154" s="108"/>
      <c r="F154" s="109"/>
      <c r="G154" s="98" t="s">
        <v>134</v>
      </c>
      <c r="H154" s="98"/>
      <c r="I154" s="156"/>
      <c r="J154" s="156"/>
      <c r="K154" s="156"/>
      <c r="L154" s="156"/>
      <c r="M154" s="156"/>
      <c r="N154" s="156"/>
      <c r="O154" s="156"/>
      <c r="P154" s="156"/>
      <c r="Q154" s="156"/>
      <c r="R154" s="156"/>
      <c r="S154" s="156"/>
      <c r="T154" s="156"/>
      <c r="U154" s="157"/>
    </row>
    <row r="155" spans="1:21" s="65" customFormat="1" ht="15.6" x14ac:dyDescent="0.3">
      <c r="A155" s="66"/>
      <c r="B155" s="78"/>
      <c r="C155" s="79"/>
      <c r="D155" s="80" t="s">
        <v>135</v>
      </c>
      <c r="E155" s="78"/>
      <c r="F155" s="80" t="s">
        <v>136</v>
      </c>
      <c r="G155" s="81" t="s">
        <v>137</v>
      </c>
      <c r="H155" s="8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7"/>
    </row>
    <row r="156" spans="1:21" s="65" customFormat="1" ht="15.6" x14ac:dyDescent="0.3">
      <c r="A156" s="82"/>
      <c r="B156" s="83"/>
      <c r="C156" s="149"/>
      <c r="D156" s="84"/>
      <c r="E156" s="83"/>
      <c r="F156" s="84"/>
      <c r="G156" s="85"/>
      <c r="H156" s="85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5"/>
    </row>
    <row r="157" spans="1:21" s="65" customFormat="1" ht="15.6" x14ac:dyDescent="0.3">
      <c r="A157" s="73"/>
      <c r="B157" s="152"/>
      <c r="C157" s="153"/>
      <c r="D157" s="76">
        <v>1.1200000000000001</v>
      </c>
      <c r="E157" s="153"/>
      <c r="F157" s="151" t="s">
        <v>138</v>
      </c>
      <c r="G157" s="77" t="s">
        <v>139</v>
      </c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57"/>
    </row>
    <row r="158" spans="1:21" s="65" customFormat="1" ht="15.6" x14ac:dyDescent="0.3">
      <c r="A158" s="73"/>
      <c r="B158" s="152"/>
      <c r="C158" s="153"/>
      <c r="D158" s="151" t="s">
        <v>140</v>
      </c>
      <c r="E158" s="152"/>
      <c r="F158" s="151" t="s">
        <v>141</v>
      </c>
      <c r="G158" s="74" t="s">
        <v>142</v>
      </c>
      <c r="H158" s="74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57"/>
    </row>
    <row r="159" spans="1:21" s="65" customFormat="1" ht="15.6" x14ac:dyDescent="0.3">
      <c r="A159" s="66"/>
      <c r="B159" s="78"/>
      <c r="C159" s="79"/>
      <c r="D159" s="80" t="s">
        <v>143</v>
      </c>
      <c r="E159" s="78"/>
      <c r="F159" s="80" t="s">
        <v>144</v>
      </c>
      <c r="G159" s="81" t="s">
        <v>145</v>
      </c>
      <c r="H159" s="8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7"/>
    </row>
    <row r="160" spans="1:21" s="65" customFormat="1" ht="16.2" thickBot="1" x14ac:dyDescent="0.35">
      <c r="A160" s="82"/>
      <c r="B160" s="83"/>
      <c r="C160" s="149"/>
      <c r="D160" s="84"/>
      <c r="E160" s="83"/>
      <c r="F160" s="84"/>
      <c r="G160" s="110" t="s">
        <v>146</v>
      </c>
      <c r="H160" s="85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5"/>
    </row>
    <row r="161" spans="1:21" s="65" customFormat="1" ht="16.2" thickBot="1" x14ac:dyDescent="0.35">
      <c r="A161" s="66"/>
      <c r="B161" s="79"/>
      <c r="C161" s="78"/>
      <c r="D161" s="111" t="s">
        <v>147</v>
      </c>
      <c r="E161" s="79"/>
      <c r="F161" s="80" t="s">
        <v>148</v>
      </c>
      <c r="G161" s="112" t="s">
        <v>149</v>
      </c>
      <c r="H161" s="81"/>
      <c r="I161" s="6"/>
      <c r="J161" s="6"/>
      <c r="K161" s="6"/>
      <c r="L161" s="6"/>
      <c r="M161" s="6"/>
      <c r="N161" s="6"/>
      <c r="O161" s="6"/>
      <c r="P161" s="6"/>
      <c r="Q161" s="6"/>
      <c r="R161" s="113"/>
      <c r="S161" s="114"/>
      <c r="T161" s="115"/>
      <c r="U161" s="116" t="s">
        <v>116</v>
      </c>
    </row>
    <row r="162" spans="1:21" s="65" customFormat="1" ht="16.2" thickBot="1" x14ac:dyDescent="0.35">
      <c r="A162" s="82"/>
      <c r="B162" s="149"/>
      <c r="C162" s="83"/>
      <c r="D162" s="147"/>
      <c r="E162" s="149"/>
      <c r="F162" s="84"/>
      <c r="G162" s="117" t="s">
        <v>150</v>
      </c>
      <c r="H162" s="85"/>
      <c r="I162" s="154"/>
      <c r="J162" s="154"/>
      <c r="K162" s="154"/>
      <c r="L162" s="154"/>
      <c r="M162" s="154"/>
      <c r="N162" s="154"/>
      <c r="O162" s="154"/>
      <c r="P162" s="154"/>
      <c r="Q162" s="154"/>
      <c r="R162" s="118"/>
      <c r="S162" s="119"/>
      <c r="T162" s="115"/>
      <c r="U162" s="120" t="s">
        <v>116</v>
      </c>
    </row>
    <row r="163" spans="1:21" s="65" customFormat="1" ht="15.6" x14ac:dyDescent="0.3">
      <c r="A163" s="66" t="s">
        <v>80</v>
      </c>
      <c r="B163" s="66" t="s">
        <v>81</v>
      </c>
      <c r="C163" s="67" t="s">
        <v>82</v>
      </c>
      <c r="D163" s="121"/>
      <c r="E163" s="69"/>
      <c r="F163" s="68" t="s">
        <v>83</v>
      </c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7"/>
    </row>
    <row r="164" spans="1:21" s="65" customFormat="1" x14ac:dyDescent="0.25">
      <c r="A164" s="70"/>
      <c r="B164" s="71"/>
      <c r="C164" s="72"/>
      <c r="D164" s="122"/>
      <c r="E164" s="72"/>
      <c r="F164" s="150" t="s">
        <v>84</v>
      </c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5"/>
    </row>
    <row r="165" spans="1:21" s="65" customFormat="1" ht="15.6" x14ac:dyDescent="0.3">
      <c r="A165" s="66"/>
      <c r="B165" s="79"/>
      <c r="C165" s="78"/>
      <c r="D165" s="121">
        <v>1.1599999999999999</v>
      </c>
      <c r="E165" s="78"/>
      <c r="F165" s="80" t="s">
        <v>151</v>
      </c>
      <c r="G165" s="123" t="s">
        <v>152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124"/>
      <c r="S165" s="124"/>
      <c r="T165" s="125"/>
      <c r="U165" s="126"/>
    </row>
    <row r="166" spans="1:21" s="65" customFormat="1" ht="15.6" x14ac:dyDescent="0.3">
      <c r="A166" s="82"/>
      <c r="B166" s="149"/>
      <c r="C166" s="83"/>
      <c r="D166" s="72"/>
      <c r="E166" s="83"/>
      <c r="F166" s="84"/>
      <c r="G166" s="127" t="s">
        <v>153</v>
      </c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28"/>
      <c r="S166" s="128"/>
      <c r="T166" s="128"/>
      <c r="U166" s="129"/>
    </row>
    <row r="167" spans="1:21" s="65" customFormat="1" ht="224.25" customHeight="1" x14ac:dyDescent="0.3">
      <c r="A167" s="169"/>
      <c r="B167" s="170"/>
      <c r="C167" s="170"/>
      <c r="D167" s="170"/>
      <c r="E167" s="170"/>
      <c r="F167" s="170"/>
      <c r="G167" s="170"/>
      <c r="H167" s="170"/>
      <c r="I167" s="170"/>
      <c r="J167" s="170"/>
      <c r="K167" s="170"/>
      <c r="L167" s="170"/>
      <c r="M167" s="170"/>
      <c r="N167" s="170"/>
      <c r="O167" s="170"/>
      <c r="P167" s="170"/>
      <c r="Q167" s="170"/>
      <c r="R167" s="170"/>
      <c r="S167" s="170"/>
      <c r="T167" s="170"/>
      <c r="U167" s="171"/>
    </row>
    <row r="168" spans="1:21" s="65" customFormat="1" ht="16.2" thickBot="1" x14ac:dyDescent="0.35">
      <c r="A168" s="73"/>
      <c r="B168" s="153"/>
      <c r="C168" s="152"/>
      <c r="D168" s="152" t="s">
        <v>154</v>
      </c>
      <c r="E168" s="130" t="s">
        <v>155</v>
      </c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6"/>
      <c r="S168" s="131"/>
      <c r="T168" s="132"/>
      <c r="U168" s="57" t="s">
        <v>116</v>
      </c>
    </row>
    <row r="169" spans="1:21" s="65" customFormat="1" ht="16.2" thickBot="1" x14ac:dyDescent="0.35">
      <c r="A169" s="107"/>
      <c r="B169" s="144"/>
      <c r="C169" s="108"/>
      <c r="D169" s="152" t="s">
        <v>156</v>
      </c>
      <c r="E169" s="133" t="s">
        <v>157</v>
      </c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134"/>
      <c r="S169" s="119"/>
      <c r="T169" s="115"/>
      <c r="U169" s="57" t="s">
        <v>116</v>
      </c>
    </row>
    <row r="170" spans="1:21" s="65" customFormat="1" ht="15.6" x14ac:dyDescent="0.3">
      <c r="A170" s="82"/>
      <c r="B170" s="148"/>
      <c r="C170" s="83"/>
      <c r="D170" s="152" t="s">
        <v>158</v>
      </c>
      <c r="E170" s="127" t="s">
        <v>159</v>
      </c>
      <c r="F170" s="75"/>
      <c r="G170" s="75"/>
      <c r="H170" s="135"/>
      <c r="I170" s="75"/>
      <c r="J170" s="154"/>
      <c r="K170" s="154"/>
      <c r="L170" s="154"/>
      <c r="M170" s="154"/>
      <c r="N170" s="154"/>
      <c r="O170" s="154"/>
      <c r="P170" s="154"/>
      <c r="Q170" s="154"/>
      <c r="R170" s="134"/>
      <c r="S170" s="136"/>
      <c r="T170" s="137"/>
      <c r="U170" s="57" t="s">
        <v>116</v>
      </c>
    </row>
    <row r="171" spans="1:21" ht="15.6" x14ac:dyDescent="0.3">
      <c r="A171" s="107"/>
      <c r="B171" s="108"/>
      <c r="C171" s="144"/>
      <c r="D171" s="109" t="s">
        <v>160</v>
      </c>
      <c r="E171" s="108"/>
      <c r="F171" s="109" t="s">
        <v>151</v>
      </c>
      <c r="G171" s="98" t="s">
        <v>161</v>
      </c>
      <c r="H171" s="98"/>
      <c r="U171" s="157"/>
    </row>
    <row r="172" spans="1:21" ht="15.6" x14ac:dyDescent="0.3">
      <c r="A172" s="107"/>
      <c r="B172" s="108"/>
      <c r="C172" s="144"/>
      <c r="D172" s="109"/>
      <c r="E172" s="108"/>
      <c r="F172" s="109"/>
      <c r="G172" s="98"/>
      <c r="H172" s="98"/>
      <c r="U172" s="157"/>
    </row>
    <row r="173" spans="1:21" ht="15.6" x14ac:dyDescent="0.3">
      <c r="A173" s="66"/>
      <c r="B173" s="78"/>
      <c r="C173" s="79"/>
      <c r="D173" s="80" t="s">
        <v>162</v>
      </c>
      <c r="E173" s="78"/>
      <c r="F173" s="138" t="s">
        <v>151</v>
      </c>
      <c r="G173" s="6" t="s">
        <v>163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7"/>
    </row>
    <row r="174" spans="1:21" ht="15.6" x14ac:dyDescent="0.3">
      <c r="A174" s="82"/>
      <c r="B174" s="83"/>
      <c r="C174" s="149"/>
      <c r="D174" s="84"/>
      <c r="E174" s="83"/>
      <c r="F174" s="71"/>
      <c r="G174" s="154" t="s">
        <v>164</v>
      </c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5"/>
    </row>
    <row r="175" spans="1:21" s="65" customFormat="1" ht="15.6" x14ac:dyDescent="0.3">
      <c r="A175" s="73"/>
      <c r="B175" s="152"/>
      <c r="C175" s="153"/>
      <c r="D175" s="151" t="s">
        <v>165</v>
      </c>
      <c r="E175" s="152"/>
      <c r="F175" s="151"/>
      <c r="G175" s="74" t="s">
        <v>166</v>
      </c>
      <c r="H175" s="74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57"/>
    </row>
    <row r="176" spans="1:21" s="65" customFormat="1" ht="15.6" x14ac:dyDescent="0.3">
      <c r="A176" s="107"/>
      <c r="B176" s="108"/>
      <c r="C176" s="144"/>
      <c r="D176" s="109" t="s">
        <v>167</v>
      </c>
      <c r="E176" s="108"/>
      <c r="F176" s="109" t="s">
        <v>168</v>
      </c>
      <c r="G176" s="74" t="s">
        <v>169</v>
      </c>
      <c r="H176" s="98"/>
      <c r="I176" s="156"/>
      <c r="J176" s="156"/>
      <c r="K176" s="156"/>
      <c r="L176" s="156"/>
      <c r="M176" s="156"/>
      <c r="N176" s="156"/>
      <c r="O176" s="156"/>
      <c r="P176" s="156"/>
      <c r="Q176" s="156"/>
      <c r="R176" s="156"/>
      <c r="S176" s="156"/>
      <c r="T176" s="156"/>
      <c r="U176" s="157"/>
    </row>
    <row r="177" spans="1:21" s="65" customFormat="1" ht="15.6" x14ac:dyDescent="0.3">
      <c r="A177" s="66"/>
      <c r="B177" s="78"/>
      <c r="C177" s="79"/>
      <c r="D177" s="80" t="s">
        <v>170</v>
      </c>
      <c r="E177" s="78"/>
      <c r="F177" s="80"/>
      <c r="G177" s="81" t="s">
        <v>171</v>
      </c>
      <c r="H177" s="8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7"/>
    </row>
    <row r="178" spans="1:21" s="65" customFormat="1" ht="15.6" x14ac:dyDescent="0.3">
      <c r="A178" s="73"/>
      <c r="B178" s="152"/>
      <c r="C178" s="153"/>
      <c r="D178" s="151" t="s">
        <v>172</v>
      </c>
      <c r="E178" s="152"/>
      <c r="F178" s="151" t="s">
        <v>173</v>
      </c>
      <c r="G178" s="74" t="s">
        <v>174</v>
      </c>
      <c r="H178" s="74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57"/>
    </row>
    <row r="179" spans="1:21" ht="18" customHeight="1" x14ac:dyDescent="0.3">
      <c r="A179" s="107"/>
      <c r="B179" s="108"/>
      <c r="C179" s="144"/>
      <c r="D179" s="109" t="s">
        <v>175</v>
      </c>
      <c r="E179" s="108"/>
      <c r="F179" s="109" t="s">
        <v>173</v>
      </c>
      <c r="G179" s="98" t="s">
        <v>176</v>
      </c>
      <c r="H179" s="98"/>
      <c r="U179" s="157"/>
    </row>
    <row r="180" spans="1:21" ht="18" customHeight="1" x14ac:dyDescent="0.3">
      <c r="A180" s="73"/>
      <c r="B180" s="152"/>
      <c r="C180" s="153"/>
      <c r="D180" s="151" t="s">
        <v>177</v>
      </c>
      <c r="E180" s="152"/>
      <c r="F180" s="151" t="s">
        <v>178</v>
      </c>
      <c r="G180" s="74" t="s">
        <v>179</v>
      </c>
      <c r="H180" s="74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57"/>
    </row>
    <row r="181" spans="1:21" ht="15.6" x14ac:dyDescent="0.3">
      <c r="A181" s="73"/>
      <c r="B181" s="152"/>
      <c r="C181" s="153"/>
      <c r="D181" s="151" t="s">
        <v>180</v>
      </c>
      <c r="E181" s="152"/>
      <c r="F181" s="151" t="s">
        <v>181</v>
      </c>
      <c r="G181" s="74" t="s">
        <v>182</v>
      </c>
      <c r="H181" s="74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57"/>
    </row>
    <row r="182" spans="1:21" ht="15.6" x14ac:dyDescent="0.3">
      <c r="A182" s="73"/>
      <c r="B182" s="152"/>
      <c r="C182" s="153"/>
      <c r="D182" s="151" t="s">
        <v>183</v>
      </c>
      <c r="E182" s="152"/>
      <c r="F182" s="151" t="s">
        <v>184</v>
      </c>
      <c r="G182" s="74" t="s">
        <v>185</v>
      </c>
      <c r="H182" s="74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57"/>
    </row>
    <row r="183" spans="1:21" ht="14.25" customHeight="1" x14ac:dyDescent="0.3">
      <c r="A183" s="73"/>
      <c r="B183" s="152"/>
      <c r="C183" s="139"/>
      <c r="D183" s="140">
        <v>1.27</v>
      </c>
      <c r="E183" s="153"/>
      <c r="F183" s="151"/>
      <c r="G183" s="77" t="s">
        <v>186</v>
      </c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57"/>
    </row>
    <row r="184" spans="1:21" ht="14.25" customHeight="1" x14ac:dyDescent="0.3">
      <c r="A184" s="73"/>
      <c r="B184" s="152"/>
      <c r="C184" s="139"/>
      <c r="D184" s="140">
        <v>1.28</v>
      </c>
      <c r="E184" s="153"/>
      <c r="F184" s="151"/>
      <c r="G184" s="77" t="s">
        <v>187</v>
      </c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57"/>
    </row>
    <row r="185" spans="1:21" ht="14.25" customHeight="1" x14ac:dyDescent="0.3">
      <c r="A185" s="73"/>
      <c r="B185" s="152"/>
      <c r="C185" s="139"/>
      <c r="D185" s="151" t="s">
        <v>188</v>
      </c>
      <c r="E185" s="152"/>
      <c r="F185" s="151"/>
      <c r="G185" s="74" t="s">
        <v>189</v>
      </c>
      <c r="H185" s="74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57"/>
    </row>
    <row r="186" spans="1:21" ht="14.1" customHeight="1" x14ac:dyDescent="0.25"/>
    <row r="187" spans="1:21" ht="14.1" customHeight="1" x14ac:dyDescent="0.25"/>
  </sheetData>
  <mergeCells count="337">
    <mergeCell ref="P12:R12"/>
    <mergeCell ref="A13:C13"/>
    <mergeCell ref="D13:H13"/>
    <mergeCell ref="K13:M13"/>
    <mergeCell ref="N13:O13"/>
    <mergeCell ref="P13:R13"/>
    <mergeCell ref="E10:G10"/>
    <mergeCell ref="A12:C12"/>
    <mergeCell ref="D12:H12"/>
    <mergeCell ref="I12:J12"/>
    <mergeCell ref="K12:M12"/>
    <mergeCell ref="N12:O12"/>
    <mergeCell ref="A15:C15"/>
    <mergeCell ref="D15:H15"/>
    <mergeCell ref="K15:M15"/>
    <mergeCell ref="N15:O15"/>
    <mergeCell ref="P15:R15"/>
    <mergeCell ref="S15:U15"/>
    <mergeCell ref="S13:U13"/>
    <mergeCell ref="A14:C14"/>
    <mergeCell ref="D14:H14"/>
    <mergeCell ref="I14:J14"/>
    <mergeCell ref="K14:M14"/>
    <mergeCell ref="N14:O14"/>
    <mergeCell ref="P14:R14"/>
    <mergeCell ref="S14:U14"/>
    <mergeCell ref="A17:C17"/>
    <mergeCell ref="D17:H17"/>
    <mergeCell ref="K17:M17"/>
    <mergeCell ref="N17:O17"/>
    <mergeCell ref="P17:R17"/>
    <mergeCell ref="S17:U17"/>
    <mergeCell ref="A16:C16"/>
    <mergeCell ref="D16:H16"/>
    <mergeCell ref="K16:M16"/>
    <mergeCell ref="N16:O16"/>
    <mergeCell ref="P16:R16"/>
    <mergeCell ref="S16:U16"/>
    <mergeCell ref="A19:C19"/>
    <mergeCell ref="D19:H19"/>
    <mergeCell ref="K19:M19"/>
    <mergeCell ref="N19:O19"/>
    <mergeCell ref="P19:R19"/>
    <mergeCell ref="S19:U19"/>
    <mergeCell ref="A18:C18"/>
    <mergeCell ref="D18:H18"/>
    <mergeCell ref="K18:M18"/>
    <mergeCell ref="N18:O18"/>
    <mergeCell ref="P18:R18"/>
    <mergeCell ref="S18:U18"/>
    <mergeCell ref="A29:U29"/>
    <mergeCell ref="A40:C40"/>
    <mergeCell ref="D40:L40"/>
    <mergeCell ref="M40:O40"/>
    <mergeCell ref="P40:R40"/>
    <mergeCell ref="S40:U40"/>
    <mergeCell ref="A20:C20"/>
    <mergeCell ref="D20:H20"/>
    <mergeCell ref="K20:M20"/>
    <mergeCell ref="N20:O20"/>
    <mergeCell ref="P20:R20"/>
    <mergeCell ref="S20:U20"/>
    <mergeCell ref="A41:C41"/>
    <mergeCell ref="D41:L41"/>
    <mergeCell ref="M41:O41"/>
    <mergeCell ref="P41:R41"/>
    <mergeCell ref="S41:U41"/>
    <mergeCell ref="A42:C42"/>
    <mergeCell ref="D42:L42"/>
    <mergeCell ref="M42:O42"/>
    <mergeCell ref="P42:R42"/>
    <mergeCell ref="S42:U42"/>
    <mergeCell ref="A43:C43"/>
    <mergeCell ref="D43:L43"/>
    <mergeCell ref="M43:O43"/>
    <mergeCell ref="P43:R43"/>
    <mergeCell ref="S43:U43"/>
    <mergeCell ref="A44:C44"/>
    <mergeCell ref="D44:L44"/>
    <mergeCell ref="M44:O44"/>
    <mergeCell ref="P44:R44"/>
    <mergeCell ref="S44:U44"/>
    <mergeCell ref="A45:C45"/>
    <mergeCell ref="D45:L45"/>
    <mergeCell ref="M45:O45"/>
    <mergeCell ref="P45:R45"/>
    <mergeCell ref="S45:U45"/>
    <mergeCell ref="A46:C46"/>
    <mergeCell ref="D46:L46"/>
    <mergeCell ref="M46:O46"/>
    <mergeCell ref="P46:R46"/>
    <mergeCell ref="S46:U46"/>
    <mergeCell ref="A49:L49"/>
    <mergeCell ref="M49:U49"/>
    <mergeCell ref="G74:H74"/>
    <mergeCell ref="G80:H80"/>
    <mergeCell ref="A84:C84"/>
    <mergeCell ref="D84:H84"/>
    <mergeCell ref="I84:J84"/>
    <mergeCell ref="K84:M84"/>
    <mergeCell ref="N84:O84"/>
    <mergeCell ref="S85:U85"/>
    <mergeCell ref="A86:C86"/>
    <mergeCell ref="D86:H86"/>
    <mergeCell ref="I86:J86"/>
    <mergeCell ref="K86:M86"/>
    <mergeCell ref="N86:O86"/>
    <mergeCell ref="P86:R86"/>
    <mergeCell ref="S86:U86"/>
    <mergeCell ref="P84:R84"/>
    <mergeCell ref="A85:C85"/>
    <mergeCell ref="D85:H85"/>
    <mergeCell ref="K85:M85"/>
    <mergeCell ref="N85:O85"/>
    <mergeCell ref="P85:R85"/>
    <mergeCell ref="A88:C88"/>
    <mergeCell ref="D88:H88"/>
    <mergeCell ref="K88:M88"/>
    <mergeCell ref="N88:O88"/>
    <mergeCell ref="P88:R88"/>
    <mergeCell ref="S88:U88"/>
    <mergeCell ref="A87:C87"/>
    <mergeCell ref="D87:H87"/>
    <mergeCell ref="K87:M87"/>
    <mergeCell ref="N87:O87"/>
    <mergeCell ref="P87:R87"/>
    <mergeCell ref="S87:U87"/>
    <mergeCell ref="A90:C90"/>
    <mergeCell ref="D90:H90"/>
    <mergeCell ref="K90:M90"/>
    <mergeCell ref="N90:O90"/>
    <mergeCell ref="P90:R90"/>
    <mergeCell ref="S90:U90"/>
    <mergeCell ref="A89:C89"/>
    <mergeCell ref="D89:H89"/>
    <mergeCell ref="K89:M89"/>
    <mergeCell ref="N89:O89"/>
    <mergeCell ref="P89:R89"/>
    <mergeCell ref="S89:U89"/>
    <mergeCell ref="A92:C92"/>
    <mergeCell ref="D92:H92"/>
    <mergeCell ref="K92:M92"/>
    <mergeCell ref="N92:O92"/>
    <mergeCell ref="P92:R92"/>
    <mergeCell ref="S92:U92"/>
    <mergeCell ref="A91:C91"/>
    <mergeCell ref="D91:H91"/>
    <mergeCell ref="K91:M91"/>
    <mergeCell ref="N91:O91"/>
    <mergeCell ref="P91:R91"/>
    <mergeCell ref="S91:U91"/>
    <mergeCell ref="A94:C94"/>
    <mergeCell ref="D94:H94"/>
    <mergeCell ref="K94:M94"/>
    <mergeCell ref="N94:O94"/>
    <mergeCell ref="P94:R94"/>
    <mergeCell ref="S94:U94"/>
    <mergeCell ref="A93:C93"/>
    <mergeCell ref="D93:H93"/>
    <mergeCell ref="K93:M93"/>
    <mergeCell ref="N93:O93"/>
    <mergeCell ref="P93:R93"/>
    <mergeCell ref="S93:U93"/>
    <mergeCell ref="A96:C96"/>
    <mergeCell ref="D96:H96"/>
    <mergeCell ref="K96:M96"/>
    <mergeCell ref="N96:O96"/>
    <mergeCell ref="P96:R96"/>
    <mergeCell ref="S96:U96"/>
    <mergeCell ref="A95:C95"/>
    <mergeCell ref="D95:H95"/>
    <mergeCell ref="K95:M95"/>
    <mergeCell ref="N95:O95"/>
    <mergeCell ref="P95:R95"/>
    <mergeCell ref="S95:U95"/>
    <mergeCell ref="A98:C98"/>
    <mergeCell ref="D98:H98"/>
    <mergeCell ref="K98:M98"/>
    <mergeCell ref="N98:O98"/>
    <mergeCell ref="P98:R98"/>
    <mergeCell ref="S98:U98"/>
    <mergeCell ref="A97:C97"/>
    <mergeCell ref="D97:H97"/>
    <mergeCell ref="K97:M97"/>
    <mergeCell ref="N97:O97"/>
    <mergeCell ref="P97:R97"/>
    <mergeCell ref="S97:U97"/>
    <mergeCell ref="A100:C100"/>
    <mergeCell ref="D100:H100"/>
    <mergeCell ref="K100:M100"/>
    <mergeCell ref="N100:O100"/>
    <mergeCell ref="P100:R100"/>
    <mergeCell ref="S100:U100"/>
    <mergeCell ref="A99:C99"/>
    <mergeCell ref="D99:H99"/>
    <mergeCell ref="K99:M99"/>
    <mergeCell ref="N99:O99"/>
    <mergeCell ref="P99:R99"/>
    <mergeCell ref="S99:U99"/>
    <mergeCell ref="A102:C102"/>
    <mergeCell ref="D102:H102"/>
    <mergeCell ref="K102:M102"/>
    <mergeCell ref="N102:O102"/>
    <mergeCell ref="P102:R102"/>
    <mergeCell ref="S102:U102"/>
    <mergeCell ref="A101:C101"/>
    <mergeCell ref="D101:H101"/>
    <mergeCell ref="K101:M101"/>
    <mergeCell ref="N101:O101"/>
    <mergeCell ref="P101:R101"/>
    <mergeCell ref="S101:U101"/>
    <mergeCell ref="A106:C106"/>
    <mergeCell ref="D106:L106"/>
    <mergeCell ref="M106:O106"/>
    <mergeCell ref="P106:R106"/>
    <mergeCell ref="S106:U106"/>
    <mergeCell ref="A107:C107"/>
    <mergeCell ref="D107:L107"/>
    <mergeCell ref="M107:O107"/>
    <mergeCell ref="P107:R107"/>
    <mergeCell ref="S107:U107"/>
    <mergeCell ref="A108:C108"/>
    <mergeCell ref="D108:L108"/>
    <mergeCell ref="M108:O108"/>
    <mergeCell ref="P108:R108"/>
    <mergeCell ref="S108:U108"/>
    <mergeCell ref="A109:C109"/>
    <mergeCell ref="D109:L109"/>
    <mergeCell ref="M109:O109"/>
    <mergeCell ref="P109:R109"/>
    <mergeCell ref="S109:U109"/>
    <mergeCell ref="A110:C110"/>
    <mergeCell ref="D110:L110"/>
    <mergeCell ref="M110:O110"/>
    <mergeCell ref="P110:R110"/>
    <mergeCell ref="S110:U110"/>
    <mergeCell ref="A111:C111"/>
    <mergeCell ref="D111:L111"/>
    <mergeCell ref="M111:O111"/>
    <mergeCell ref="P111:R111"/>
    <mergeCell ref="S111:U111"/>
    <mergeCell ref="A112:C112"/>
    <mergeCell ref="D112:L112"/>
    <mergeCell ref="M112:O112"/>
    <mergeCell ref="P112:R112"/>
    <mergeCell ref="S112:U112"/>
    <mergeCell ref="A113:C113"/>
    <mergeCell ref="D113:L113"/>
    <mergeCell ref="M113:O113"/>
    <mergeCell ref="P113:R113"/>
    <mergeCell ref="S113:U113"/>
    <mergeCell ref="A114:C114"/>
    <mergeCell ref="D114:L114"/>
    <mergeCell ref="M114:O114"/>
    <mergeCell ref="P114:R114"/>
    <mergeCell ref="S114:U114"/>
    <mergeCell ref="A115:C115"/>
    <mergeCell ref="D115:L115"/>
    <mergeCell ref="M115:O115"/>
    <mergeCell ref="P115:R115"/>
    <mergeCell ref="S115:U115"/>
    <mergeCell ref="A116:C116"/>
    <mergeCell ref="D116:L116"/>
    <mergeCell ref="M116:O116"/>
    <mergeCell ref="P116:R116"/>
    <mergeCell ref="S116:U116"/>
    <mergeCell ref="A117:C117"/>
    <mergeCell ref="D117:L117"/>
    <mergeCell ref="M117:O117"/>
    <mergeCell ref="P117:R117"/>
    <mergeCell ref="S117:U117"/>
    <mergeCell ref="A118:C118"/>
    <mergeCell ref="D118:L118"/>
    <mergeCell ref="M118:O118"/>
    <mergeCell ref="P118:R118"/>
    <mergeCell ref="S118:U118"/>
    <mergeCell ref="A119:C119"/>
    <mergeCell ref="D119:L119"/>
    <mergeCell ref="M119:O119"/>
    <mergeCell ref="P119:R119"/>
    <mergeCell ref="S119:U119"/>
    <mergeCell ref="A120:C120"/>
    <mergeCell ref="D120:L120"/>
    <mergeCell ref="M120:O120"/>
    <mergeCell ref="P120:R120"/>
    <mergeCell ref="S120:U120"/>
    <mergeCell ref="A121:C121"/>
    <mergeCell ref="D121:L121"/>
    <mergeCell ref="M121:O121"/>
    <mergeCell ref="P121:R121"/>
    <mergeCell ref="S121:U121"/>
    <mergeCell ref="A122:C122"/>
    <mergeCell ref="D122:L122"/>
    <mergeCell ref="M122:O122"/>
    <mergeCell ref="P122:R122"/>
    <mergeCell ref="S122:U122"/>
    <mergeCell ref="A123:C123"/>
    <mergeCell ref="D123:L123"/>
    <mergeCell ref="M123:O123"/>
    <mergeCell ref="P123:R123"/>
    <mergeCell ref="S123:U123"/>
    <mergeCell ref="P139:R139"/>
    <mergeCell ref="T139:U139"/>
    <mergeCell ref="I140:L141"/>
    <mergeCell ref="M140:O141"/>
    <mergeCell ref="P140:R141"/>
    <mergeCell ref="T141:U141"/>
    <mergeCell ref="A124:C124"/>
    <mergeCell ref="D124:L124"/>
    <mergeCell ref="M124:O124"/>
    <mergeCell ref="P124:R124"/>
    <mergeCell ref="S124:U124"/>
    <mergeCell ref="A138:U138"/>
    <mergeCell ref="G82:H82"/>
    <mergeCell ref="N7:O7"/>
    <mergeCell ref="N8:P8"/>
    <mergeCell ref="N9:Q9"/>
    <mergeCell ref="N10:O10"/>
    <mergeCell ref="G69:J69"/>
    <mergeCell ref="G76:H76"/>
    <mergeCell ref="S150:U150"/>
    <mergeCell ref="A167:U167"/>
    <mergeCell ref="A148:H148"/>
    <mergeCell ref="A149:H149"/>
    <mergeCell ref="A150:H150"/>
    <mergeCell ref="I150:K150"/>
    <mergeCell ref="M150:N150"/>
    <mergeCell ref="P150:Q150"/>
    <mergeCell ref="A142:H143"/>
    <mergeCell ref="A144:E146"/>
    <mergeCell ref="F144:H146"/>
    <mergeCell ref="S144:U144"/>
    <mergeCell ref="T146:U146"/>
    <mergeCell ref="A147:H147"/>
    <mergeCell ref="A139:H141"/>
    <mergeCell ref="I139:L139"/>
    <mergeCell ref="M139:O139"/>
  </mergeCells>
  <printOptions horizontalCentered="1" verticalCentered="1"/>
  <pageMargins left="0" right="0" top="0" bottom="0" header="0" footer="0"/>
  <pageSetup paperSize="9" scale="90" orientation="portrait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Check Box 1">
              <controlPr defaultSize="0" autoFill="0" autoLine="0" autoPict="0">
                <anchor moveWithCells="1">
                  <from>
                    <xdr:col>1</xdr:col>
                    <xdr:colOff>0</xdr:colOff>
                    <xdr:row>185</xdr:row>
                    <xdr:rowOff>0</xdr:rowOff>
                  </from>
                  <to>
                    <xdr:col>2</xdr:col>
                    <xdr:colOff>68580</xdr:colOff>
                    <xdr:row>187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185</xdr:row>
                    <xdr:rowOff>0</xdr:rowOff>
                  </from>
                  <to>
                    <xdr:col>6</xdr:col>
                    <xdr:colOff>175260</xdr:colOff>
                    <xdr:row>187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Check Box 3">
              <controlPr defaultSize="0" autoFill="0" autoLine="0" autoPict="0">
                <anchor moveWithCells="1">
                  <from>
                    <xdr:col>10</xdr:col>
                    <xdr:colOff>99060</xdr:colOff>
                    <xdr:row>185</xdr:row>
                    <xdr:rowOff>0</xdr:rowOff>
                  </from>
                  <to>
                    <xdr:col>10</xdr:col>
                    <xdr:colOff>312420</xdr:colOff>
                    <xdr:row>186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Check Box 4">
              <controlPr defaultSize="0" autoFill="0" autoLine="0" autoPict="0">
                <anchor moveWithCells="1">
                  <from>
                    <xdr:col>18</xdr:col>
                    <xdr:colOff>83820</xdr:colOff>
                    <xdr:row>185</xdr:row>
                    <xdr:rowOff>0</xdr:rowOff>
                  </from>
                  <to>
                    <xdr:col>18</xdr:col>
                    <xdr:colOff>266700</xdr:colOff>
                    <xdr:row>187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Check Box 5">
              <controlPr defaultSize="0" autoFill="0" autoLine="0" autoPict="0">
                <anchor moveWithCells="1">
                  <from>
                    <xdr:col>14</xdr:col>
                    <xdr:colOff>76200</xdr:colOff>
                    <xdr:row>185</xdr:row>
                    <xdr:rowOff>0</xdr:rowOff>
                  </from>
                  <to>
                    <xdr:col>15</xdr:col>
                    <xdr:colOff>45720</xdr:colOff>
                    <xdr:row>187</xdr:row>
                    <xdr:rowOff>68580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1</vt:i4>
      </vt:variant>
    </vt:vector>
  </HeadingPairs>
  <TitlesOfParts>
    <vt:vector size="2" baseType="lpstr">
      <vt:lpstr>Munka1</vt:lpstr>
      <vt:lpstr>Munka1!Nyomtatási_terület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Pista</dc:creator>
  <cp:lastModifiedBy>Pista</cp:lastModifiedBy>
  <cp:lastPrinted>2025-11-28T22:22:31Z</cp:lastPrinted>
  <dcterms:created xsi:type="dcterms:W3CDTF">2025-11-27T22:44:33Z</dcterms:created>
  <dcterms:modified xsi:type="dcterms:W3CDTF">2025-11-28T22:22:38Z</dcterms:modified>
</cp:coreProperties>
</file>